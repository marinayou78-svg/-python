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Топ-3 города в доле" sheetId="3" r:id="rId6"/>
    <sheet state="visible" name="Топ-3 города по склад" sheetId="4" r:id="rId7"/>
    <sheet state="visible" name="Города по неделям" sheetId="5" r:id="rId8"/>
  </sheets>
  <definedNames/>
  <calcPr/>
  <pivotCaches>
    <pivotCache cacheId="0" r:id="rId9"/>
    <pivotCache cacheId="1" r:id="rId10"/>
  </pivotCaches>
  <extLst>
    <ext uri="GoogleSheetsCustomDataVersion2">
      <go:sheetsCustomData xmlns:go="http://customooxmlschemas.google.com/" r:id="rId11" roundtripDataChecksum="iQ8S1PGNxTojrFgta0+BpGAYaLrszpimwPgZcEw+t74="/>
    </ext>
  </extLst>
</workbook>
</file>

<file path=xl/sharedStrings.xml><?xml version="1.0" encoding="utf-8"?>
<sst xmlns="http://schemas.openxmlformats.org/spreadsheetml/2006/main" count="1091" uniqueCount="32">
  <si>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</si>
  <si>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</si>
  <si>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</si>
  <si>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</si>
  <si>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</si>
  <si>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</si>
  <si>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</si>
  <si>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</si>
  <si>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</si>
  <si>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Доля %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</si>
  <si>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</si>
  <si>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</si>
  <si>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</si>
  <si>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</si>
  <si>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</si>
  <si>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</si>
  <si>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</si>
  <si>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</si>
  <si>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</si>
  <si>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</si>
  <si>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</si>
  <si>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</si>
  <si>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</si>
  <si>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</si>
  <si>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</si>
  <si>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</si>
  <si>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</si>
  <si>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</si>
  <si>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SUM of Товарооборот, руб</t>
  </si>
  <si>
    <t>SUM of Доля %</t>
  </si>
  <si>
    <t>Grand Total</t>
  </si>
  <si>
    <t>SUM of Товарооборот на склад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</si>
</sst>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yyyy\-mm\-dd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2" fontId="2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shrinkToFit="0" vertical="center" wrapText="1"/>
    </xf>
    <xf borderId="3" fillId="2" fontId="1" numFmtId="164" xfId="0" applyAlignment="1" applyBorder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3" fontId="3" numFmtId="165" xfId="0" applyBorder="1" applyFill="1" applyFont="1" applyNumberFormat="1"/>
    <xf borderId="2" fillId="3" fontId="3" numFmtId="0" xfId="0" applyBorder="1" applyFont="1"/>
    <xf borderId="0" fillId="0" fontId="4" numFmtId="0" xfId="0" applyFont="1"/>
    <xf borderId="0" fillId="0" fontId="5" numFmtId="0" xfId="0" applyFont="1"/>
    <xf borderId="0" fillId="0" fontId="5" numFmtId="164" xfId="0" applyFont="1" applyNumberFormat="1"/>
    <xf borderId="4" fillId="0" fontId="3" numFmtId="165" xfId="0" applyBorder="1" applyFont="1" applyNumberFormat="1"/>
    <xf borderId="5" fillId="0" fontId="3" numFmtId="0" xfId="0" applyBorder="1" applyFont="1"/>
    <xf borderId="6" fillId="0" fontId="3" numFmtId="165" xfId="0" applyBorder="1" applyFont="1" applyNumberFormat="1"/>
    <xf borderId="7" fillId="0" fontId="3" numFmtId="0" xfId="0" applyBorder="1" applyFon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Товарооборот по складам, по территории,  по неделям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'Топ-3 города по склад'!$B$1:$B$2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'Топ-3 города по склад'!$A$3:$A$20</c:f>
            </c:strRef>
          </c:cat>
          <c:val>
            <c:numRef>
              <c:f>'Топ-3 города по склад'!$B$3:$B$20</c:f>
              <c:numCache/>
            </c:numRef>
          </c:val>
        </c:ser>
        <c:ser>
          <c:idx val="1"/>
          <c:order val="1"/>
          <c:tx>
            <c:strRef>
              <c:f>'Топ-3 города по склад'!$C$1:$C$2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'Топ-3 города по склад'!$A$3:$A$20</c:f>
            </c:strRef>
          </c:cat>
          <c:val>
            <c:numRef>
              <c:f>'Топ-3 города по склад'!$C$3:$C$20</c:f>
              <c:numCache/>
            </c:numRef>
          </c:val>
        </c:ser>
        <c:ser>
          <c:idx val="2"/>
          <c:order val="2"/>
          <c:tx>
            <c:strRef>
              <c:f>'Топ-3 города по склад'!$D$1:$D$2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'Топ-3 города по склад'!$A$3:$A$20</c:f>
            </c:strRef>
          </c:cat>
          <c:val>
            <c:numRef>
              <c:f>'Топ-3 города по склад'!$D$3:$D$20</c:f>
              <c:numCache/>
            </c:numRef>
          </c:val>
        </c:ser>
        <c:ser>
          <c:idx val="3"/>
          <c:order val="3"/>
          <c:tx>
            <c:strRef>
              <c:f>'Топ-3 города по склад'!$E$1:$E$2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'Топ-3 города по склад'!$A$3:$A$20</c:f>
            </c:strRef>
          </c:cat>
          <c:val>
            <c:numRef>
              <c:f>'Топ-3 города по склад'!$E$3:$E$20</c:f>
              <c:numCache/>
            </c:numRef>
          </c:val>
        </c:ser>
        <c:ser>
          <c:idx val="4"/>
          <c:order val="4"/>
          <c:tx>
            <c:strRef>
              <c:f>'Топ-3 города по склад'!$F$1:$F$2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'Топ-3 города по склад'!$A$3:$A$20</c:f>
            </c:strRef>
          </c:cat>
          <c:val>
            <c:numRef>
              <c:f>'Топ-3 города по склад'!$F$3:$F$20</c:f>
              <c:numCache/>
            </c:numRef>
          </c:val>
        </c:ser>
        <c:ser>
          <c:idx val="5"/>
          <c:order val="5"/>
          <c:tx>
            <c:strRef>
              <c:f>'Топ-3 города по склад'!$G$1:$G$2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'Топ-3 города по склад'!$A$3:$A$20</c:f>
            </c:strRef>
          </c:cat>
          <c:val>
            <c:numRef>
              <c:f>'Топ-3 города по склад'!$G$3:$G$20</c:f>
              <c:numCache/>
            </c:numRef>
          </c:val>
        </c:ser>
        <c:overlap val="100"/>
        <c:axId val="2139595753"/>
        <c:axId val="1189636176"/>
      </c:barChart>
      <c:catAx>
        <c:axId val="2139595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Территория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636176"/>
      </c:catAx>
      <c:valAx>
        <c:axId val="1189636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5957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Товарооборот (руб) по территории, по неделям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'Города по неделям'!$B$1:$B$2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'Города по неделям'!$A$3:$A$20</c:f>
            </c:strRef>
          </c:cat>
          <c:val>
            <c:numRef>
              <c:f>'Города по неделям'!$B$3:$B$20</c:f>
              <c:numCache/>
            </c:numRef>
          </c:val>
        </c:ser>
        <c:ser>
          <c:idx val="1"/>
          <c:order val="1"/>
          <c:tx>
            <c:strRef>
              <c:f>'Города по неделям'!$C$1:$C$2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'Города по неделям'!$A$3:$A$20</c:f>
            </c:strRef>
          </c:cat>
          <c:val>
            <c:numRef>
              <c:f>'Города по неделям'!$C$3:$C$20</c:f>
              <c:numCache/>
            </c:numRef>
          </c:val>
        </c:ser>
        <c:ser>
          <c:idx val="2"/>
          <c:order val="2"/>
          <c:tx>
            <c:strRef>
              <c:f>'Города по неделям'!$D$1:$D$2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'Города по неделям'!$A$3:$A$20</c:f>
            </c:strRef>
          </c:cat>
          <c:val>
            <c:numRef>
              <c:f>'Города по неделям'!$D$3:$D$20</c:f>
              <c:numCache/>
            </c:numRef>
          </c:val>
        </c:ser>
        <c:ser>
          <c:idx val="3"/>
          <c:order val="3"/>
          <c:tx>
            <c:strRef>
              <c:f>'Города по неделям'!$E$1:$E$2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'Города по неделям'!$A$3:$A$20</c:f>
            </c:strRef>
          </c:cat>
          <c:val>
            <c:numRef>
              <c:f>'Города по неделям'!$E$3:$E$20</c:f>
              <c:numCache/>
            </c:numRef>
          </c:val>
        </c:ser>
        <c:ser>
          <c:idx val="4"/>
          <c:order val="4"/>
          <c:tx>
            <c:strRef>
              <c:f>'Города по неделям'!$F$1:$F$2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'Города по неделям'!$A$3:$A$20</c:f>
            </c:strRef>
          </c:cat>
          <c:val>
            <c:numRef>
              <c:f>'Города по неделям'!$F$3:$F$20</c:f>
              <c:numCache/>
            </c:numRef>
          </c:val>
        </c:ser>
        <c:ser>
          <c:idx val="5"/>
          <c:order val="5"/>
          <c:tx>
            <c:strRef>
              <c:f>'Города по неделям'!$G$1:$G$2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'Города по неделям'!$A$3:$A$20</c:f>
            </c:strRef>
          </c:cat>
          <c:val>
            <c:numRef>
              <c:f>'Города по неделям'!$G$3:$G$20</c:f>
              <c:numCache/>
            </c:numRef>
          </c:val>
        </c:ser>
        <c:overlap val="100"/>
        <c:axId val="2053212368"/>
        <c:axId val="882677081"/>
      </c:barChart>
      <c:catAx>
        <c:axId val="20532123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Территория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677081"/>
      </c:catAx>
      <c:valAx>
        <c:axId val="8826770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[$ ₽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2123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0</xdr:row>
      <xdr:rowOff>19050</xdr:rowOff>
    </xdr:from>
    <xdr:ext cx="5715000" cy="3533775"/>
    <xdr:graphicFrame>
      <xdr:nvGraphicFramePr>
        <xdr:cNvPr id="961021809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0</xdr:row>
      <xdr:rowOff>180975</xdr:rowOff>
    </xdr:from>
    <xdr:ext cx="5715000" cy="3533775"/>
    <xdr:graphicFrame>
      <xdr:nvGraphicFramePr>
        <xdr:cNvPr id="2018506050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05" sheet="Лист1"/>
  </cacheSource>
  <cacheFields>
    <cacheField name="Дата" numFmtId="165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emiMixedTypes="0" containsString="0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</sharedItems>
    </cacheField>
    <cacheField name="Товарооборот на склад" numFmtId="0">
      <sharedItems containsSemiMixedTypes="0" containsString="0" containsNumber="1">
        <n v="529.6"/>
        <n v="668.6"/>
        <n v="569.1"/>
        <n v="1854.642857142857"/>
        <n v="1516.2857142857142"/>
        <n v="1524.9285714285713"/>
        <n v="1483.2142857142858"/>
        <n v="1278.3"/>
        <n v="1628.8333333333333"/>
        <n v="1612.8333333333333"/>
        <n v="1671.15"/>
        <n v="1804.8333333333333"/>
        <n v="1343.7857142857142"/>
        <n v="1489.142857142857"/>
        <n v="1622.7142857142858"/>
        <n v="1578.3"/>
        <n v="1496.6666666666667"/>
        <n v="1392.4285714285713"/>
        <n v="1304.1"/>
        <n v="1625.55"/>
        <n v="2033.5"/>
        <n v="1779.6"/>
        <n v="1602.3947368421052"/>
        <n v="1743.7857142857142"/>
        <n v="1400.4285714285713"/>
        <n v="1286.5714285714287"/>
        <n v="1715.175"/>
        <n v="1761.857142857143"/>
        <n v="2200.05"/>
        <n v="1549.125"/>
        <n v="2840.7580645161293"/>
        <n v="2710.451612903226"/>
        <n v="2517.967741935484"/>
        <n v="2249.032258064516"/>
        <n v="2352.532258064516"/>
        <n v="2565.3870967741937"/>
        <n v="1950.4354838709678"/>
        <n v="2579.8548387096776"/>
        <n v="3146.2741935483873"/>
        <n v="2307.0967741935483"/>
        <n v="2564.032258064516"/>
        <n v="3010.1129032258063"/>
        <n v="2470.5"/>
        <n v="2639.564516129032"/>
        <n v="2543.4193548387098"/>
        <n v="2492.3709677419356"/>
        <n v="2225.6129032258063"/>
        <n v="3319.016129032258"/>
        <n v="2483.8548387096776"/>
        <n v="2502.0967741935483"/>
        <n v="2713.935483870968"/>
        <n v="2243.3709677419356"/>
        <n v="2361.435483870968"/>
        <n v="2473.016129032258"/>
        <n v="1426.5"/>
        <n v="1152.6"/>
        <n v="1040.25"/>
        <n v="1321.65"/>
        <n v="913.05"/>
        <n v="1084.05"/>
        <n v="786.6"/>
        <n v="1183.5"/>
        <n v="1161.9"/>
        <n v="932.85"/>
        <n v="1125.0"/>
        <n v="1306.35"/>
        <n v="1014.75"/>
        <n v="1233.15"/>
        <n v="1120.2"/>
        <n v="2875.7903225806454"/>
        <n v="818.55"/>
        <n v="3487.8387096774195"/>
        <n v="921.0"/>
        <n v="1477.35"/>
        <n v="2520.6774193548385"/>
        <n v="1228.05"/>
        <n v="893.4"/>
        <n v="1291.8"/>
        <n v="1252.8"/>
        <n v="1102.95"/>
        <n v="999.45"/>
        <n v="1272.45"/>
        <n v="1472.85"/>
        <n v="1303.8"/>
        <n v="1867.5"/>
        <n v="1707.078947368421"/>
        <n v="1604.5263157894738"/>
        <n v="1688.3684210526317"/>
        <n v="1424.842105263158"/>
        <n v="1439.8333333333333"/>
        <n v="1024.2631578947369"/>
        <n v="1570.35"/>
        <n v="1357.5"/>
        <n v="1370.1315789473683"/>
        <n v="1668.7894736842106"/>
        <n v="1576.578947368421"/>
        <n v="1202.5263157894738"/>
        <n v="1371.4411764705883"/>
        <n v="1392.8684210526317"/>
        <n v="1238.921052631579"/>
        <n v="1298.842105263158"/>
        <n v="1908.825"/>
        <n v="1530.15"/>
        <n v="1274.2894736842106"/>
        <n v="1652.6052631578948"/>
        <n v="1331.2894736842106"/>
        <n v="1340.4473684210527"/>
        <n v="1592.7"/>
        <n v="1617.975"/>
        <n v="1993.35"/>
        <n v="1598.7"/>
        <n v="2491.5697674418607"/>
        <n v="2143.9418604651164"/>
        <n v="2085.5"/>
        <n v="2216.8372093023254"/>
        <n v="2201.1046511627906"/>
        <n v="2328.5859375"/>
        <n v="1805.453488372093"/>
        <n v="2147.0232558139537"/>
        <n v="2295.732558139535"/>
        <n v="2184.4651162790697"/>
        <n v="2239.813953488372"/>
        <n v="2326.7558139534885"/>
        <n v="2036.6976744186047"/>
        <n v="2234.390625"/>
        <n v="2003.5581395348838"/>
        <n v="2124.6744186046512"/>
        <n v="2151.2558139534885"/>
        <n v="2767.3023255813955"/>
        <n v="2069.639534883721"/>
        <n v="2411.8720930232557"/>
        <n v="2226.406976744186"/>
        <n v="2868.9302325581393"/>
        <n v="1921.0348837209303"/>
        <n v="2230.546511627907"/>
        <n v="3270.48"/>
        <n v="2900.292"/>
        <n v="2856.576"/>
        <n v="2873.712"/>
        <n v="2882.04"/>
        <n v="3097.764"/>
        <n v="2372.64"/>
        <n v="2982.75"/>
        <n v="2980.032"/>
        <n v="2987.136"/>
        <n v="3024.348"/>
        <n v="3109.344"/>
        <n v="2670.336"/>
        <n v="3008.484"/>
        <n v="2800.548"/>
        <n v="2281.686046511628"/>
        <n v="2741.328"/>
        <n v="2828.546511627907"/>
        <n v="2842.224"/>
        <n v="3655.08"/>
        <n v="2158.8488372093025"/>
        <n v="2820.435483870968"/>
        <n v="3212.64"/>
        <n v="2949.192"/>
        <n v="3708.24"/>
        <n v="2552.88"/>
        <n v="3005.952"/>
        <n v="2259.2083333333335"/>
        <n v="2105.4583333333335"/>
        <n v="2023.9166666666667"/>
        <n v="2315.9166666666665"/>
        <n v="1780.7916666666667"/>
        <n v="2075.2083333333335"/>
        <n v="1283.7916666666667"/>
        <n v="1881.2916666666667"/>
        <n v="2284.125"/>
        <n v="1788.625"/>
        <n v="2031.2916666666667"/>
        <n v="2767.5416666666665"/>
        <n v="1844.3333333333333"/>
        <n v="2031.875"/>
        <n v="2029.5"/>
        <n v="3061.8024193548385"/>
        <n v="1960.5833333333333"/>
        <n v="3654.217741935484"/>
        <n v="1750.3333333333333"/>
        <n v="2487.6666666666665"/>
        <n v="2940.6290322580644"/>
        <n v="1842.125"/>
        <n v="2173.2083333333335"/>
        <n v="2453.0833333333335"/>
        <n v="1716.7916666666667"/>
        <n v="1974.0833333333333"/>
        <n v="2073.5833333333335"/>
        <n v="2121.9285714285716"/>
        <n v="1821.4285714285713"/>
        <n v="1658.5714285714287"/>
        <n v="1535.2142857142858"/>
        <n v="1539.0"/>
        <n v="1533.7894736842106"/>
        <n v="1321.425"/>
        <n v="1940.2142857142858"/>
        <n v="2331.0"/>
        <n v="1543.7857142857142"/>
        <n v="1943.7857142857142"/>
        <n v="1971.0"/>
        <n v="1474.125"/>
        <n v="1693.7368421052631"/>
        <n v="1692.142857142857"/>
        <n v="2060.391891891892"/>
        <n v="1496.775"/>
        <n v="2889.891891891892"/>
        <n v="1517.1"/>
        <n v="2047.5714285714287"/>
        <n v="1890.4054054054054"/>
        <n v="1844.7857142857142"/>
        <n v="1561.575"/>
        <n v="1785.2142857142858"/>
        <n v="1638.0714285714287"/>
        <n v="1564.357142857143"/>
        <n v="1818.7857142857142"/>
        <n v="1844.4782608695652"/>
        <n v="2194.840909090909"/>
        <n v="1883.7272727272727"/>
        <n v="1240.0"/>
        <n v="1039.875"/>
        <n v="1040.6"/>
        <n v="929.9"/>
        <n v="820.1"/>
        <n v="867.6"/>
        <n v="820.9"/>
        <n v="1023.0"/>
        <n v="1140.9"/>
        <n v="853.5"/>
        <n v="973.7647058823529"/>
        <n v="1083.09375"/>
        <n v="1065.8"/>
        <n v="886.9"/>
        <n v="953.7"/>
        <n v="861.6"/>
        <n v="937.4"/>
        <n v="1291.6764705882354"/>
        <n v="1012.4117647058823"/>
        <n v="850.2"/>
        <n v="1095.7"/>
        <n v="966.3"/>
        <n v="847.0"/>
        <n v="1063.235294117647"/>
        <n v="874.7"/>
        <n v="1082.5"/>
        <n v="797.8"/>
        <n v="802.5"/>
        <n v="472.5"/>
        <n v="1434.25"/>
        <n v="308.3"/>
        <n v="817.3"/>
        <n v="363.1"/>
        <n v="753.1"/>
        <n v="809.0"/>
        <n v="842.0"/>
        <n v="548.2"/>
        <n v="1397.1666666666667"/>
        <n v="693.4"/>
        <n v="1040.5588235294117"/>
        <n v="541.8"/>
        <n v="1602.9705882352941"/>
        <n v="564.3"/>
        <n v="944.5"/>
        <n v="970.5882352941177"/>
        <n v="884.0"/>
        <n v="285.7"/>
        <n v="896.0"/>
        <n v="603.9"/>
        <n v="581.3"/>
        <n v="844.4"/>
        <n v="1819.1052631578948"/>
        <n v="1520.1315789473683"/>
        <n v="1488.157894736842"/>
        <n v="1382.6842105263158"/>
        <n v="1241.4473684210527"/>
        <n v="969.8684210526316"/>
        <n v="1357.8"/>
        <n v="1852.1052631578948"/>
        <n v="1341.2368421052631"/>
        <n v="1334.842105263158"/>
        <n v="1518.3947368421052"/>
        <n v="1387.7368421052631"/>
        <n v="1344.157894736842"/>
        <n v="925.5"/>
        <n v="1123.342105263158"/>
        <n v="1121.625"/>
        <n v="1280.921052631579"/>
        <n v="1947.2368421052631"/>
        <n v="866.53125"/>
        <n v="1424.7"/>
        <n v="1467.5526315789473"/>
        <n v="1643.3684210526317"/>
        <n v="1316.842105263158"/>
        <n v="1378.1052631578948"/>
        <n v="1569.7105263157894"/>
        <n v="3531.3813559322034"/>
        <n v="3468.4322033898306"/>
        <n v="1493.9285714285713"/>
        <n v="1734.075"/>
        <n v="1409.85"/>
        <n v="3942.525"/>
        <n v="3726.625"/>
        <n v="3222.725"/>
        <n v="3191.8474576271187"/>
        <n v="4026.177966101695"/>
        <n v="3763.1388888888887"/>
        <n v="3152.186440677966"/>
        <n v="4150.932203389831"/>
        <n v="4057.7796610169494"/>
        <n v="3214.775"/>
        <n v="3737.225"/>
        <n v="3660.375"/>
        <n v="3620.0338983050847"/>
        <n v="3624.1666666666665"/>
        <n v="3228.7"/>
        <n v="4359.5847457627115"/>
        <n v="3809.822033898305"/>
        <n v="4866.975"/>
        <n v="3368.669491525424"/>
        <n v="3633.6610169491523"/>
        <n v="4132.627118644068"/>
        <n v="3944.084745762712"/>
        <n v="3718.830508474576"/>
        <n v="3333.825"/>
        <n v="4175.555555555556"/>
        <n v="3915.8055555555557"/>
        <n v="3422.25"/>
        <n v="3295.8611111111113"/>
        <n v="4141.055555555556"/>
        <n v="3266.6111111111113"/>
        <n v="4303.138888888889"/>
        <n v="4195.194444444444"/>
        <n v="3512.5833333333335"/>
        <n v="3956.3055555555557"/>
        <n v="3979.3611111111113"/>
        <n v="3774.6666666666665"/>
        <n v="3493.75"/>
        <n v="3648.762711864407"/>
        <n v="4595.333333333333"/>
        <n v="4176.5084745762715"/>
        <n v="4009.222222222222"/>
        <n v="5107.277777777777"/>
        <n v="3329.225"/>
        <n v="3573.1111111111113"/>
        <n v="3815.527777777778"/>
        <n v="4288.138888888889"/>
        <n v="4168.083333333333"/>
        <n v="3878.0555555555557"/>
        <n v="3587.3888888888887"/>
        <n v="816.7"/>
        <n v="836.1"/>
        <n v="3828.8611111111113"/>
        <n v="4532.111111111111"/>
        <n v="3548.9166666666665"/>
        <n v="848.6470588235294"/>
        <n v="840.0"/>
        <n v="783.0"/>
        <n v="737.5"/>
        <n v="667.9"/>
        <n v="1491.0"/>
        <n v="909.6"/>
        <n v="896.2"/>
        <n v="787.9166666666666"/>
        <n v="878.1176470588235"/>
        <n v="929.4"/>
        <n v="976.2"/>
        <n v="668.8"/>
        <n v="831.2"/>
        <n v="996.8333333333334"/>
        <n v="878.1666666666666"/>
        <n v="798.4"/>
        <n v="971.1"/>
        <n v="865.1"/>
        <n v="781.3"/>
        <n v="955.4166666666666"/>
        <n v="801.0833333333334"/>
        <n v="521.1"/>
        <n v="712.1666666666666"/>
        <n v="1602.857142857143"/>
        <n v="556.7"/>
        <n v="1204.0714285714287"/>
        <n v="1640.85"/>
        <n v="1715.7857142857142"/>
        <n v="854.5"/>
        <n v="1294.642857142857"/>
        <n v="1149.3333333333333"/>
        <n v="871.0"/>
        <n v="1491.857142857143"/>
        <n v="1412.2857142857142"/>
        <n v="1626.2142857142858"/>
        <n v="1521.2857142857142"/>
        <n v="1488.0"/>
        <n v="1771.575"/>
        <n v="2533.6935483870966"/>
        <n v="3160.1129032258063"/>
        <n v="2492.564516129032"/>
        <n v="896.8333333333334"/>
        <n v="2329.6935483870966"/>
        <n v="2518.016129032258"/>
        <n v="2274.1451612903224"/>
        <n v="2547.1451612903224"/>
        <n v="1249.05"/>
        <n v="1803.6"/>
        <n v="1141.65"/>
        <n v="900.75"/>
        <n v="2824.2580645161293"/>
        <n v="1168.05"/>
        <n v="1203.75"/>
        <n v="1442.1"/>
        <n v="1482.3"/>
        <n v="1562.85"/>
        <n v="1903.725"/>
        <n v="1608.525"/>
        <n v="2231.4473684210525"/>
        <n v="1508.842105263158"/>
        <n v="1442.6842105263158"/>
        <n v="1729.1842105263158"/>
        <n v="1767.3"/>
        <n v="2221.3837209302324"/>
        <n v="2357.3023255813955"/>
        <n v="2132.23828125"/>
        <n v="1837.9767441860465"/>
        <n v="2123.2558139534885"/>
        <n v="2124.4883720930234"/>
        <n v="2471.4418604651164"/>
        <n v="2983.9717741935483"/>
        <n v="3144.144"/>
        <n v="2843.0853658536585"/>
        <n v="2548.524"/>
        <n v="3278.8023255813955"/>
        <n v="2840.652"/>
        <n v="2867.1"/>
        <n v="3226.092"/>
        <n v="1916.9583333333333"/>
        <n v="2106.125"/>
        <n v="1749.7297297297298"/>
        <n v="1654.8333333333333"/>
        <n v="4229.685483870968"/>
        <n v="1952.1666666666667"/>
        <n v="1767.9166666666667"/>
        <n v="2101.1666666666665"/>
        <n v="1924.7857142857142"/>
        <n v="2563.714285714286"/>
        <n v="1762.108695652174"/>
        <n v="1558.7142857142858"/>
        <n v="2281.9864864864867"/>
        <n v="1745.5"/>
        <n v="1613.642857142857"/>
        <n v="1985.5714285714287"/>
        <n v="2025.8863636363637"/>
        <n v="1062.8823529411766"/>
        <n v="1263.7058823529412"/>
        <n v="981.6176470588235"/>
        <n v="815.9"/>
        <n v="893.15625"/>
        <n v="959.0"/>
        <n v="1099.9"/>
        <n v="880.2"/>
        <n v="1053.5"/>
        <n v="1029.75"/>
        <n v="843.6"/>
        <n v="1155.7058823529412"/>
        <n v="830.0"/>
        <n v="744.1"/>
        <n v="815.3"/>
        <n v="1402.5"/>
        <n v="1620.078947368421"/>
        <n v="1331.4285714285713"/>
        <n v="1243.657894736842"/>
        <n v="1065.75"/>
        <n v="1430.6052631578948"/>
        <n v="1350.3157894736842"/>
        <n v="1541.2105263157894"/>
        <n v="1639.125"/>
        <n v="3654.101694915254"/>
        <n v="3805.575"/>
        <n v="3199.601694915254"/>
        <n v="2921.55"/>
        <n v="3366.65"/>
        <n v="3299.1"/>
        <n v="3848.275"/>
        <n v="3769.1111111111113"/>
        <n v="3970.8888888888887"/>
        <n v="3393.1111111111113"/>
        <n v="3091.6388888888887"/>
        <n v="3933.9406779661017"/>
        <n v="3640.0"/>
        <n v="3453.6388888888887"/>
        <n v="4069.8611111111113"/>
        <n v="4194.0"/>
        <n v="1194.642857142857"/>
        <n v="944.9166666666666"/>
        <n v="574.0"/>
        <n v="729.4"/>
        <n v="906.09375"/>
        <n v="863.15625"/>
        <n v="859.5"/>
        <n v="848.6666666666666"/>
        <n v="734.75"/>
        <n v="1418.142857142857"/>
        <n v="1353.4285714285713"/>
        <n v="937.6666666666666"/>
        <n v="791.0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  <cacheField name="Доля %" numFmtId="164">
      <sharedItems containsSemiMixedTypes="0" containsString="0" containsNumber="1">
        <n v="0.012574089716330058"/>
        <n v="0.0158614273084798"/>
        <n v="0.01297656964828112"/>
        <n v="0.06843301444852451"/>
        <n v="0.05584272276121993"/>
        <n v="0.05808645392072901"/>
        <n v="0.05704986028149524"/>
        <n v="0.04780609174448987"/>
        <n v="0.052867605613465415"/>
        <n v="0.05463625024721597"/>
        <n v="0.05985721448352474"/>
        <n v="0.06108493697065387"/>
        <n v="0.05230936307623131"/>
        <n v="0.05530397699875926"/>
        <n v="0.05903100464649746"/>
        <n v="0.05857623103957266"/>
        <n v="0.048597600345176205"/>
        <n v="0.05299459158373402"/>
        <n v="0.04906766909634187"/>
        <n v="0.059218264366995906"/>
        <n v="0.07312502665109602"/>
        <n v="0.06401350367941443"/>
        <n v="0.056771313336476156"/>
        <n v="0.06676194437131455"/>
        <n v="0.053304484506179556"/>
        <n v="0.049819307548305464"/>
        <n v="0.05893862922989644"/>
        <n v="0.07000490790863109"/>
        <n v="0.07903064507130954"/>
        <n v="0.05698444784644138"/>
        <n v="0.15282566554078297"/>
        <n v="0.1373441684061442"/>
        <n v="0.13652672456087547"/>
        <n v="0.12624908286483727"/>
        <n v="0.13385264366113453"/>
        <n v="0.14469928890497946"/>
        <n v="0.1119264498406859"/>
        <n v="0.13454204357161204"/>
        <n v="0.1792096079909439"/>
        <n v="0.12893788458522112"/>
        <n v="0.13368333910996233"/>
        <n v="0.14605100483415617"/>
        <n v="0.13947632964985668"/>
        <n v="0.14435965206567028"/>
        <n v="0.14094006890819677"/>
        <n v="0.14133741015532383"/>
        <n v="0.12430895729575377"/>
        <n v="0.16301002499348652"/>
        <n v="0.13392023248034915"/>
        <n v="0.1415400859302943"/>
        <n v="0.15079911938398274"/>
        <n v="0.12683032857354828"/>
        <n v="0.1328376929532772"/>
        <n v="0.12999929504939908"/>
        <n v="0.02278163370585722"/>
        <n v="0.01891770544889587"/>
        <n v="0.01700254784254548"/>
        <n v="0.02108674431311009"/>
        <n v="0.01468838647338969"/>
        <n v="0.01607942845524894"/>
        <n v="0.012451365831709606"/>
        <n v="0.019811322739791044"/>
        <n v="0.01795798048911771"/>
        <n v="0.014770484520342679"/>
        <n v="0.018852383696515377"/>
        <n v="0.020902295755485956"/>
        <n v="0.01598675076307005"/>
        <n v="0.017531651014071684"/>
        <n v="0.017445623384606215"/>
        <n v="0.1513926374811558"/>
        <n v="0.012854389859700858"/>
        <n v="0.1846844837126743"/>
        <n v="0.014042363108338386"/>
        <n v="0.02501599432245193"/>
        <n v="0.13383895057745646"/>
        <n v="0.0207651230982427"/>
        <n v="0.014432570651827403"/>
        <n v="0.020248201632505177"/>
        <n v="0.019339651928062588"/>
        <n v="0.017406115966576922"/>
        <n v="0.016705441177044394"/>
        <n v="0.021068910054015"/>
        <n v="0.02540088181577021"/>
        <n v="0.02246013340122098"/>
        <n v="0.06493922263668075"/>
        <n v="0.05774143657613349"/>
        <n v="0.05429452770641937"/>
        <n v="0.058483613802509334"/>
        <n v="0.04939119464734993"/>
        <n v="0.0483154865483381"/>
        <n v="0.036257562608800864"/>
        <n v="0.05858928934453719"/>
        <n v="0.047847322133313094"/>
        <n v="0.04776824684213893"/>
        <n v="0.0574964724478172"/>
        <n v="0.05425302526957605"/>
        <n v="0.0419135316292409"/>
        <n v="0.04306051630951751"/>
        <n v="0.047826797621574844"/>
        <n v="0.04373543721981441"/>
        <n v="0.0449890647239681"/>
        <n v="0.06822102858575524"/>
        <n v="0.057749295741158446"/>
        <n v="0.04569729640294771"/>
        <n v="0.05768019554405441"/>
        <n v="0.04577368144147871"/>
        <n v="0.04737005922339381"/>
        <n v="0.05875297156996078"/>
        <n v="0.06029388178333436"/>
        <n v="0.07363768603118541"/>
        <n v="0.06054002478640439"/>
        <n v="0.6496076279436069"/>
        <n v="0.5459827234361077"/>
        <n v="0.5372430598803376"/>
        <n v="0.5998799703505155"/>
        <n v="0.5916125519300719"/>
        <n v="0.6220687811930289"/>
        <n v="0.4905331402914822"/>
        <n v="0.5616807788322494"/>
        <n v="0.6257772793478428"/>
        <n v="0.5852563010783506"/>
        <n v="0.5612834295476147"/>
        <n v="0.5918308274916789"/>
        <n v="0.5497071040566104"/>
        <n v="0.5876042266295559"/>
        <n v="0.53336432012006"/>
        <n v="0.5728525436501575"/>
        <n v="0.5797808833886001"/>
        <n v="0.7074039821794823"/>
        <n v="0.5474394801285987"/>
        <n v="0.653295692269356"/>
        <n v="0.5952043133937959"/>
        <n v="0.7676098168997388"/>
        <n v="0.5103473951043787"/>
        <n v="0.5680470269680911"/>
        <n v="0.8528933345751338"/>
        <n v="0.7460814781948997"/>
        <n v="0.7422793350660576"/>
        <n v="0.7797385337796162"/>
        <n v="0.7739656143380933"/>
        <n v="0.8374924543371163"/>
        <n v="0.6417056002417081"/>
        <n v="0.7731395254112972"/>
        <n v="0.8076237883424481"/>
        <n v="0.7975758156304852"/>
        <n v="0.763793085346957"/>
        <n v="0.7987996689902176"/>
        <n v="0.7188462672623049"/>
        <n v="0.8044163421855328"/>
        <n v="0.7495853055559291"/>
        <n v="0.5910044943776027"/>
        <n v="0.7381972545245381"/>
        <n v="0.7199094611523924"/>
        <n v="0.7676256863675777"/>
        <n v="0.9352019466956787"/>
        <n v="0.5672907485860069"/>
        <n v="0.7432639675334533"/>
        <n v="0.8671023724371167"/>
        <n v="0.7861356522894674"/>
        <n v="0.9899158515388526"/>
        <n v="0.6804019524404259"/>
        <n v="0.7696214608705494"/>
        <n v="0.13405275009369302"/>
        <n v="0.12440580639090745"/>
        <n v="0.11995912104734568"/>
        <n v="0.1461689225370883"/>
        <n v="0.11207275122038121"/>
        <n v="0.13006833479138755"/>
        <n v="0.082989790135304"/>
        <n v="0.1181895393593037"/>
        <n v="0.14171132504516495"/>
        <n v="0.11130079984958391"/>
        <n v="0.11817131214195736"/>
        <n v="0.14351935618671363"/>
        <n v="0.11628620072804854"/>
        <n v="0.12671887956798286"/>
        <n v="0.12763743459405338"/>
        <n v="0.7935777374720595"/>
        <n v="0.1253702166221428"/>
        <n v="0.9344527869034537"/>
        <n v="0.10990984855039801"/>
        <n v="0.1445505390931033"/>
        <n v="0.7647106313771486"/>
        <n v="0.11495842502464017"/>
        <n v="0.1374264478184439"/>
        <n v="0.15569347485838908"/>
        <n v="0.1081281758392407"/>
        <n v="0.1244536566148863"/>
        <n v="0.122889864140267"/>
        <n v="0.08111359585094272"/>
        <n v="0.07159774906628495"/>
        <n v="0.06430722485844322"/>
        <n v="0.06216584420960529"/>
        <n v="0.056784553006787426"/>
        <n v="0.05295051980447869"/>
        <n v="0.04978409244348211"/>
        <n v="0.07456757639142651"/>
        <n v="0.08651613702688574"/>
        <n v="0.06207963521479309"/>
        <n v="0.07678594662995124"/>
        <n v="0.07897427067603438"/>
        <n v="0.05337557972209761"/>
        <n v="0.057706433064214656"/>
        <n v="0.06626019713958675"/>
        <n v="0.13100318247110593"/>
        <n v="0.05481268850202622"/>
        <n v="0.1833480024726229"/>
        <n v="0.0551779280827821"/>
        <n v="0.07825340387789927"/>
        <n v="0.12296431461509955"/>
        <n v="0.0717734316321505"/>
        <n v="0.057499072017786985"/>
        <n v="0.07152036651834694"/>
        <n v="0.06451283270651915"/>
        <n v="0.059135259493309264"/>
        <n v="0.06950932709869209"/>
        <n v="0.0804890038243633"/>
        <n v="0.08980489531425152"/>
        <n v="0.07846430154858816"/>
        <n v="0.03227145456325926"/>
        <n v="0.027503994376448175"/>
        <n v="0.027760535659397373"/>
        <n v="0.024644165134098193"/>
        <n v="0.021868852143324267"/>
        <n v="0.022489151856697736"/>
        <n v="0.021224189018373436"/>
        <n v="0.030008559132112398"/>
        <n v="0.02953921584233364"/>
        <n v="0.022647090846141547"/>
        <n v="0.027824497171677398"/>
        <n v="0.028822067033806496"/>
        <n v="0.027893567141223638"/>
        <n v="0.02222505368430146"/>
        <n v="0.025058796544280146"/>
        <n v="0.022570101256454773"/>
        <n v="0.02460638068686283"/>
        <n v="0.03736129165388243"/>
        <n v="0.030386101328888124"/>
        <n v="0.022228711218793842"/>
        <n v="0.02965398987925577"/>
        <n v="0.025588353129173173"/>
        <n v="0.02264839063112644"/>
        <n v="0.031196834656327804"/>
        <n v="0.024484986814785066"/>
        <n v="0.028273799590642516"/>
        <n v="0.021370671763415484"/>
        <n v="0.021788356156934054"/>
        <n v="0.012309779951029262"/>
        <n v="0.04757645298797224"/>
        <n v="0.008730595288433592"/>
        <n v="0.023215852573485983"/>
        <n v="0.010188137897427079"/>
        <n v="0.01994278238861231"/>
        <n v="0.022239895415175508"/>
        <n v="0.02226477269523527"/>
        <n v="0.013997233364560472"/>
        <n v="0.04588688364539585"/>
        <n v="0.019142356658378427"/>
        <n v="0.03208392279474071"/>
        <n v="0.01340697984362856"/>
        <n v="0.04951781788692508"/>
        <n v="0.014897984359093681"/>
        <n v="0.026501013781474972"/>
        <n v="0.029984286403208396"/>
        <n v="0.024800441607863648"/>
        <n v="0.00815521372593352"/>
        <n v="0.024147496132078825"/>
        <n v="0.01609635588761038"/>
        <n v="0.01550223323928157"/>
        <n v="0.023877050172547005"/>
        <n v="0.05890108660312339"/>
        <n v="0.049301751303854384"/>
        <n v="0.04908214809652247"/>
        <n v="0.04806054732595168"/>
        <n v="0.04344038602824293"/>
        <n v="0.03391232731023871"/>
        <n v="0.048581791332452925"/>
        <n v="0.06385087941851343"/>
        <n v="0.04520349901891822"/>
        <n v="0.04431229993264611"/>
        <n v="0.05079759222856563"/>
        <n v="0.047967778951099424"/>
        <n v="0.045616437685864035"/>
        <n v="0.026938587908018237"/>
        <n v="0.038420374596110696"/>
        <n v="0.03242591738355741"/>
        <n v="0.04351459468261318"/>
        <n v="0.062251448653261716"/>
        <n v="0.024983016056904908"/>
        <n v="0.05063726526205655"/>
        <n v="0.05158997742842783"/>
        <n v="0.05576521930305076"/>
        <n v="0.04505840674153444"/>
        <n v="0.04651691663237715"/>
        <n v="0.05092152521549762"/>
        <n v="0.43558581824706694"/>
        <n v="0.4255012097350647"/>
        <n v="0.05631040353532034"/>
        <n v="0.06056260477207225"/>
        <n v="0.05157247567246841"/>
        <n v="0.4773814624009335"/>
        <n v="0.4422464606057164"/>
        <n v="0.3938930082447961"/>
        <n v="0.38728819618538174"/>
        <n v="0.48952961560046876"/>
        <n v="0.4205941284588296"/>
        <n v="0.3954845496174651"/>
        <n v="0.5070860532119269"/>
        <n v="0.512122357297707"/>
        <n v="0.38701711544713635"/>
        <n v="0.4484418403948883"/>
        <n v="0.4425170577030371"/>
        <n v="0.4417140021752757"/>
        <n v="0.40309986893374206"/>
        <n v="0.39169419523616045"/>
        <n v="0.5338645862014562"/>
        <n v="0.46415406447812524"/>
        <n v="0.5761555995723572"/>
        <n v="0.4147773790585136"/>
        <n v="0.454017917980094"/>
        <n v="0.5015840935984183"/>
        <n v="0.48126198558712063"/>
        <n v="0.45260991833831543"/>
        <n v="0.40222402544682634"/>
        <n v="0.4504981909236679"/>
        <n v="0.4149250709058672"/>
        <n v="0.3717806428959294"/>
        <n v="0.3644596795373949"/>
        <n v="0.4593949470972637"/>
        <n v="0.3753440790009174"/>
        <n v="0.4807460314032324"/>
        <n v="0.4827045957825667"/>
        <n v="0.3772003533246962"/>
        <n v="0.4240457528275587"/>
        <n v="0.4314752028909954"/>
        <n v="0.42077047603096646"/>
        <n v="0.37852964040599396"/>
        <n v="0.43498093458816556"/>
        <n v="0.5142528257981834"/>
        <n v="0.49426582049252676"/>
        <n v="0.44588558651540616"/>
        <n v="0.5401992243493589"/>
        <n v="0.4138300473974287"/>
        <n v="0.39914335366727516"/>
        <n v="0.43810734066265045"/>
        <n v="0.47243103480682996"/>
        <n v="0.4603874387296844"/>
        <n v="0.4325165120292441"/>
        <n v="0.38431552746980807"/>
        <n v="0.019779281528535458"/>
        <n v="0.0200013936231638"/>
        <n v="0.4174878841653895"/>
        <n v="0.48670358076772613"/>
        <n v="0.393946420339408"/>
        <n v="0.026526707205595013"/>
        <n v="0.022707153003466873"/>
        <n v="0.023326183159413236"/>
        <n v="0.01926103005025525"/>
        <n v="0.0182643670148598"/>
        <n v="0.01646111182744166"/>
        <n v="0.016802804140680472"/>
        <n v="0.022860981045051475"/>
        <n v="0.022011254168064896"/>
        <n v="0.02362936556402977"/>
        <n v="0.024539728921939653"/>
        <n v="0.023085299751398364"/>
        <n v="0.02363172331353726"/>
        <n v="0.0164468141926078"/>
        <n v="0.02048554841625882"/>
        <n v="0.029368913781754425"/>
        <n v="0.026735368037007573"/>
        <n v="0.020242609534314344"/>
        <n v="0.024515698013497966"/>
        <n v="0.021095782352888788"/>
        <n v="0.019464129011034764"/>
        <n v="0.02793555321899157"/>
        <n v="0.024392762535972997"/>
        <n v="0.01282343684052565"/>
        <n v="0.009952786132487464"/>
        <n v="0.01871439489521184"/>
        <n v="0.013123536034247778"/>
        <n v="0.013998774970007673"/>
        <n v="0.06077253516091191"/>
        <n v="0.06229032129257745"/>
        <n v="0.009447834779634103"/>
        <n v="0.049964067322553575"/>
        <n v="0.03573208674420925"/>
        <n v="0.02795934230697095"/>
        <n v="0.05695636644525606"/>
        <n v="0.05447271915958133"/>
        <n v="0.061226794899354314"/>
        <n v="0.059347487176540835"/>
        <n v="0.017451850261510606"/>
        <n v="0.06434776001343731"/>
        <n v="0.13503825916026457"/>
        <n v="0.15574174826817697"/>
        <n v="0.13763456455381626"/>
        <n v="0.028684138687618536"/>
        <n v="0.12894510897153252"/>
        <n v="0.13319700793270656"/>
        <n v="0.12199134998501011"/>
        <n v="0.13857228385152456"/>
        <n v="0.021255988409166718"/>
        <n v="0.029321728564046905"/>
        <n v="0.02030771969379032"/>
        <n v="0.014798112508161175"/>
        <n v="0.14886298385252728"/>
        <n v="0.018870610913861715"/>
        <n v="0.019780188355269106"/>
        <n v="0.023186138884180096"/>
        <n v="0.025662471100870058"/>
        <n v="0.05892626615876104"/>
        <n v="0.06880154883307933"/>
        <n v="0.06072740541713399"/>
        <n v="0.07883304752604749"/>
        <n v="0.052155595489762285"/>
        <n v="0.049200791260841495"/>
        <n v="0.059428950444780276"/>
        <n v="0.06565534370824311"/>
        <n v="0.5895782977460357"/>
        <n v="0.5937854901492408"/>
        <n v="0.5596147172199122"/>
        <n v="0.49630089533359767"/>
        <n v="0.5548829285256831"/>
        <n v="0.5679010883190891"/>
        <n v="0.6519949400026104"/>
        <n v="0.7866190211660599"/>
        <n v="0.7959595783431034"/>
        <n v="0.7508090114323841"/>
        <n v="0.6807564612381669"/>
        <n v="0.8416790941169545"/>
        <n v="0.7431321753814963"/>
        <n v="0.7650222170428301"/>
        <n v="0.8518403273720209"/>
        <n v="0.12062597119971313"/>
        <n v="0.11977143814103822"/>
        <n v="0.11688573410922146"/>
        <n v="0.10434894519920214"/>
        <n v="1.0916587580708954"/>
        <n v="0.1168491889918554"/>
        <n v="0.10814619146368251"/>
        <n v="0.1268338651978095"/>
        <n v="0.07619061487931088"/>
        <n v="0.09755103950063614"/>
        <n v="0.07789139864582673"/>
        <n v="0.06205980593688397"/>
        <n v="0.1456644850527173"/>
        <n v="0.06771244992596728"/>
        <n v="0.06380995130526809"/>
        <n v="0.07601744120074179"/>
        <n v="0.08279521534582078"/>
        <n v="0.0323048862421731"/>
        <n v="0.03575575492195748"/>
        <n v="0.030763764435894996"/>
        <n v="0.022086309194053216"/>
        <n v="0.02511229932156542"/>
        <n v="0.024655440013153226"/>
        <n v="0.027617559311058776"/>
        <n v="0.024412924317017786"/>
        <n v="0.028452384002055724"/>
        <n v="0.031550164579315115"/>
        <n v="0.02178717728218031"/>
        <n v="0.03556108944980091"/>
        <n v="0.022472103514105144"/>
        <n v="0.01941621833194032"/>
        <n v="0.02262493404628273"/>
        <n v="0.04954408563464309"/>
        <n v="0.051199739657381026"/>
        <n v="0.05116452455255767"/>
        <n v="0.04361564540829943"/>
        <n v="0.031215394376809813"/>
        <n v="0.04684243720219923"/>
        <n v="0.044844425859951145"/>
        <n v="0.049925587641489085"/>
        <n v="0.05752790910791702"/>
        <n v="0.4502354529913721"/>
        <n v="0.4510107293935261"/>
        <n v="0.3922604480762084"/>
        <n v="0.36110130718444267"/>
        <n v="0.4115468995025636"/>
        <n v="0.40187408101031136"/>
        <n v="0.46520658804031334"/>
        <n v="0.4222452181203415"/>
        <n v="0.4194090872832975"/>
        <n v="0.3811532715117863"/>
        <n v="0.34199924386059605"/>
        <n v="0.4659163613247402"/>
        <n v="0.40011456509901283"/>
        <n v="0.3756478961842475"/>
        <n v="0.44122751986023095"/>
        <n v="0.4517236765715206"/>
        <n v="0.013858005233387613"/>
        <n v="0.028187620823388108"/>
        <n v="0.007839275291930329"/>
        <n v="0.0177406745761777"/>
        <n v="0.02480092524878826"/>
        <n v="0.022805211200932082"/>
        <n v="0.021986316432889556"/>
        <n v="0.027208822274645536"/>
        <n v="0.008280174449830304"/>
        <n v="0.01714588692157755"/>
        <n v="0.016170685452211783"/>
        <n v="0.028983300827049224"/>
        <n v="0.02606056803694181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05" sheet="Лист1"/>
  </cacheSource>
  <cacheFields>
    <cacheField name="Дата" numFmtId="165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emiMixedTypes="0" containsString="0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</sharedItems>
    </cacheField>
    <cacheField name="Товарооборот на склад" numFmtId="0">
      <sharedItems containsSemiMixedTypes="0" containsString="0" containsNumber="1">
        <n v="529.6"/>
        <n v="668.6"/>
        <n v="569.1"/>
        <n v="1854.642857142857"/>
        <n v="1516.2857142857142"/>
        <n v="1524.9285714285713"/>
        <n v="1483.2142857142858"/>
        <n v="1278.3"/>
        <n v="1628.8333333333333"/>
        <n v="1612.8333333333333"/>
        <n v="1671.15"/>
        <n v="1804.8333333333333"/>
        <n v="1343.7857142857142"/>
        <n v="1489.142857142857"/>
        <n v="1622.7142857142858"/>
        <n v="1578.3"/>
        <n v="1496.6666666666667"/>
        <n v="1392.4285714285713"/>
        <n v="1304.1"/>
        <n v="1625.55"/>
        <n v="2033.5"/>
        <n v="1779.6"/>
        <n v="1602.3947368421052"/>
        <n v="1743.7857142857142"/>
        <n v="1400.4285714285713"/>
        <n v="1286.5714285714287"/>
        <n v="1715.175"/>
        <n v="1761.857142857143"/>
        <n v="2200.05"/>
        <n v="1549.125"/>
        <n v="2840.7580645161293"/>
        <n v="2710.451612903226"/>
        <n v="2517.967741935484"/>
        <n v="2249.032258064516"/>
        <n v="2352.532258064516"/>
        <n v="2565.3870967741937"/>
        <n v="1950.4354838709678"/>
        <n v="2579.8548387096776"/>
        <n v="3146.2741935483873"/>
        <n v="2307.0967741935483"/>
        <n v="2564.032258064516"/>
        <n v="3010.1129032258063"/>
        <n v="2470.5"/>
        <n v="2639.564516129032"/>
        <n v="2543.4193548387098"/>
        <n v="2492.3709677419356"/>
        <n v="2225.6129032258063"/>
        <n v="3319.016129032258"/>
        <n v="2483.8548387096776"/>
        <n v="2502.0967741935483"/>
        <n v="2713.935483870968"/>
        <n v="2243.3709677419356"/>
        <n v="2361.435483870968"/>
        <n v="2473.016129032258"/>
        <n v="1426.5"/>
        <n v="1152.6"/>
        <n v="1040.25"/>
        <n v="1321.65"/>
        <n v="913.05"/>
        <n v="1084.05"/>
        <n v="786.6"/>
        <n v="1183.5"/>
        <n v="1161.9"/>
        <n v="932.85"/>
        <n v="1125.0"/>
        <n v="1306.35"/>
        <n v="1014.75"/>
        <n v="1233.15"/>
        <n v="1120.2"/>
        <n v="2875.7903225806454"/>
        <n v="818.55"/>
        <n v="3487.8387096774195"/>
        <n v="921.0"/>
        <n v="1477.35"/>
        <n v="2520.6774193548385"/>
        <n v="1228.05"/>
        <n v="893.4"/>
        <n v="1291.8"/>
        <n v="1252.8"/>
        <n v="1102.95"/>
        <n v="999.45"/>
        <n v="1272.45"/>
        <n v="1472.85"/>
        <n v="1303.8"/>
        <n v="1867.5"/>
        <n v="1707.078947368421"/>
        <n v="1604.5263157894738"/>
        <n v="1688.3684210526317"/>
        <n v="1424.842105263158"/>
        <n v="1439.8333333333333"/>
        <n v="1024.2631578947369"/>
        <n v="1570.35"/>
        <n v="1357.5"/>
        <n v="1370.1315789473683"/>
        <n v="1668.7894736842106"/>
        <n v="1576.578947368421"/>
        <n v="1202.5263157894738"/>
        <n v="1371.4411764705883"/>
        <n v="1392.8684210526317"/>
        <n v="1238.921052631579"/>
        <n v="1298.842105263158"/>
        <n v="1908.825"/>
        <n v="1530.15"/>
        <n v="1274.2894736842106"/>
        <n v="1652.6052631578948"/>
        <n v="1331.2894736842106"/>
        <n v="1340.4473684210527"/>
        <n v="1592.7"/>
        <n v="1617.975"/>
        <n v="1993.35"/>
        <n v="1598.7"/>
        <n v="2491.5697674418607"/>
        <n v="2143.9418604651164"/>
        <n v="2085.5"/>
        <n v="2216.8372093023254"/>
        <n v="2201.1046511627906"/>
        <n v="2328.5859375"/>
        <n v="1805.453488372093"/>
        <n v="2147.0232558139537"/>
        <n v="2295.732558139535"/>
        <n v="2184.4651162790697"/>
        <n v="2239.813953488372"/>
        <n v="2326.7558139534885"/>
        <n v="2036.6976744186047"/>
        <n v="2234.390625"/>
        <n v="2003.5581395348838"/>
        <n v="2124.6744186046512"/>
        <n v="2151.2558139534885"/>
        <n v="2767.3023255813955"/>
        <n v="2069.639534883721"/>
        <n v="2411.8720930232557"/>
        <n v="2226.406976744186"/>
        <n v="2868.9302325581393"/>
        <n v="1921.0348837209303"/>
        <n v="2230.546511627907"/>
        <n v="3270.48"/>
        <n v="2900.292"/>
        <n v="2856.576"/>
        <n v="2873.712"/>
        <n v="2882.04"/>
        <n v="3097.764"/>
        <n v="2372.64"/>
        <n v="2982.75"/>
        <n v="2980.032"/>
        <n v="2987.136"/>
        <n v="3024.348"/>
        <n v="3109.344"/>
        <n v="2670.336"/>
        <n v="3008.484"/>
        <n v="2800.548"/>
        <n v="2281.686046511628"/>
        <n v="2741.328"/>
        <n v="2828.546511627907"/>
        <n v="2842.224"/>
        <n v="3655.08"/>
        <n v="2158.8488372093025"/>
        <n v="2820.435483870968"/>
        <n v="3212.64"/>
        <n v="2949.192"/>
        <n v="3708.24"/>
        <n v="2552.88"/>
        <n v="3005.952"/>
        <n v="2259.2083333333335"/>
        <n v="2105.4583333333335"/>
        <n v="2023.9166666666667"/>
        <n v="2315.9166666666665"/>
        <n v="1780.7916666666667"/>
        <n v="2075.2083333333335"/>
        <n v="1283.7916666666667"/>
        <n v="1881.2916666666667"/>
        <n v="2284.125"/>
        <n v="1788.625"/>
        <n v="2031.2916666666667"/>
        <n v="2767.5416666666665"/>
        <n v="1844.3333333333333"/>
        <n v="2031.875"/>
        <n v="2029.5"/>
        <n v="3061.8024193548385"/>
        <n v="1960.5833333333333"/>
        <n v="3654.217741935484"/>
        <n v="1750.3333333333333"/>
        <n v="2487.6666666666665"/>
        <n v="2940.6290322580644"/>
        <n v="1842.125"/>
        <n v="2173.2083333333335"/>
        <n v="2453.0833333333335"/>
        <n v="1716.7916666666667"/>
        <n v="1974.0833333333333"/>
        <n v="2073.5833333333335"/>
        <n v="2121.9285714285716"/>
        <n v="1821.4285714285713"/>
        <n v="1658.5714285714287"/>
        <n v="1535.2142857142858"/>
        <n v="1539.0"/>
        <n v="1533.7894736842106"/>
        <n v="1321.425"/>
        <n v="1940.2142857142858"/>
        <n v="2331.0"/>
        <n v="1543.7857142857142"/>
        <n v="1943.7857142857142"/>
        <n v="1971.0"/>
        <n v="1474.125"/>
        <n v="1693.7368421052631"/>
        <n v="1692.142857142857"/>
        <n v="2060.391891891892"/>
        <n v="1496.775"/>
        <n v="2889.891891891892"/>
        <n v="1517.1"/>
        <n v="2047.5714285714287"/>
        <n v="1890.4054054054054"/>
        <n v="1844.7857142857142"/>
        <n v="1561.575"/>
        <n v="1785.2142857142858"/>
        <n v="1638.0714285714287"/>
        <n v="1564.357142857143"/>
        <n v="1818.7857142857142"/>
        <n v="1844.4782608695652"/>
        <n v="2194.840909090909"/>
        <n v="1883.7272727272727"/>
        <n v="1240.0"/>
        <n v="1039.875"/>
        <n v="1040.6"/>
        <n v="929.9"/>
        <n v="820.1"/>
        <n v="867.6"/>
        <n v="820.9"/>
        <n v="1023.0"/>
        <n v="1140.9"/>
        <n v="853.5"/>
        <n v="973.7647058823529"/>
        <n v="1083.09375"/>
        <n v="1065.8"/>
        <n v="886.9"/>
        <n v="953.7"/>
        <n v="861.6"/>
        <n v="937.4"/>
        <n v="1291.6764705882354"/>
        <n v="1012.4117647058823"/>
        <n v="850.2"/>
        <n v="1095.7"/>
        <n v="966.3"/>
        <n v="847.0"/>
        <n v="1063.235294117647"/>
        <n v="874.7"/>
        <n v="1082.5"/>
        <n v="797.8"/>
        <n v="802.5"/>
        <n v="472.5"/>
        <n v="1434.25"/>
        <n v="308.3"/>
        <n v="817.3"/>
        <n v="363.1"/>
        <n v="753.1"/>
        <n v="809.0"/>
        <n v="842.0"/>
        <n v="548.2"/>
        <n v="1397.1666666666667"/>
        <n v="693.4"/>
        <n v="1040.5588235294117"/>
        <n v="541.8"/>
        <n v="1602.9705882352941"/>
        <n v="564.3"/>
        <n v="944.5"/>
        <n v="970.5882352941177"/>
        <n v="884.0"/>
        <n v="285.7"/>
        <n v="896.0"/>
        <n v="603.9"/>
        <n v="581.3"/>
        <n v="844.4"/>
        <n v="1819.1052631578948"/>
        <n v="1520.1315789473683"/>
        <n v="1488.157894736842"/>
        <n v="1382.6842105263158"/>
        <n v="1241.4473684210527"/>
        <n v="969.8684210526316"/>
        <n v="1357.8"/>
        <n v="1852.1052631578948"/>
        <n v="1341.2368421052631"/>
        <n v="1334.842105263158"/>
        <n v="1518.3947368421052"/>
        <n v="1387.7368421052631"/>
        <n v="1344.157894736842"/>
        <n v="925.5"/>
        <n v="1123.342105263158"/>
        <n v="1121.625"/>
        <n v="1280.921052631579"/>
        <n v="1947.2368421052631"/>
        <n v="866.53125"/>
        <n v="1424.7"/>
        <n v="1467.5526315789473"/>
        <n v="1643.3684210526317"/>
        <n v="1316.842105263158"/>
        <n v="1378.1052631578948"/>
        <n v="1569.7105263157894"/>
        <n v="3531.3813559322034"/>
        <n v="3468.4322033898306"/>
        <n v="1493.9285714285713"/>
        <n v="1734.075"/>
        <n v="1409.85"/>
        <n v="3942.525"/>
        <n v="3726.625"/>
        <n v="3222.725"/>
        <n v="3191.8474576271187"/>
        <n v="4026.177966101695"/>
        <n v="3763.1388888888887"/>
        <n v="3152.186440677966"/>
        <n v="4150.932203389831"/>
        <n v="4057.7796610169494"/>
        <n v="3214.775"/>
        <n v="3737.225"/>
        <n v="3660.375"/>
        <n v="3620.0338983050847"/>
        <n v="3624.1666666666665"/>
        <n v="3228.7"/>
        <n v="4359.5847457627115"/>
        <n v="3809.822033898305"/>
        <n v="4866.975"/>
        <n v="3368.669491525424"/>
        <n v="3633.6610169491523"/>
        <n v="4132.627118644068"/>
        <n v="3944.084745762712"/>
        <n v="3718.830508474576"/>
        <n v="3333.825"/>
        <n v="4175.555555555556"/>
        <n v="3915.8055555555557"/>
        <n v="3422.25"/>
        <n v="3295.8611111111113"/>
        <n v="4141.055555555556"/>
        <n v="3266.6111111111113"/>
        <n v="4303.138888888889"/>
        <n v="4195.194444444444"/>
        <n v="3512.5833333333335"/>
        <n v="3956.3055555555557"/>
        <n v="3979.3611111111113"/>
        <n v="3774.6666666666665"/>
        <n v="3493.75"/>
        <n v="3648.762711864407"/>
        <n v="4595.333333333333"/>
        <n v="4176.5084745762715"/>
        <n v="4009.222222222222"/>
        <n v="5107.277777777777"/>
        <n v="3329.225"/>
        <n v="3573.1111111111113"/>
        <n v="3815.527777777778"/>
        <n v="4288.138888888889"/>
        <n v="4168.083333333333"/>
        <n v="3878.0555555555557"/>
        <n v="3587.3888888888887"/>
        <n v="816.7"/>
        <n v="836.1"/>
        <n v="3828.8611111111113"/>
        <n v="4532.111111111111"/>
        <n v="3548.9166666666665"/>
        <n v="848.6470588235294"/>
        <n v="840.0"/>
        <n v="783.0"/>
        <n v="737.5"/>
        <n v="667.9"/>
        <n v="1491.0"/>
        <n v="909.6"/>
        <n v="896.2"/>
        <n v="787.9166666666666"/>
        <n v="878.1176470588235"/>
        <n v="929.4"/>
        <n v="976.2"/>
        <n v="668.8"/>
        <n v="831.2"/>
        <n v="996.8333333333334"/>
        <n v="878.1666666666666"/>
        <n v="798.4"/>
        <n v="971.1"/>
        <n v="865.1"/>
        <n v="781.3"/>
        <n v="955.4166666666666"/>
        <n v="801.0833333333334"/>
        <n v="521.1"/>
        <n v="712.1666666666666"/>
        <n v="1602.857142857143"/>
        <n v="556.7"/>
        <n v="1204.0714285714287"/>
        <n v="1640.85"/>
        <n v="1715.7857142857142"/>
        <n v="854.5"/>
        <n v="1294.642857142857"/>
        <n v="1149.3333333333333"/>
        <n v="871.0"/>
        <n v="1491.857142857143"/>
        <n v="1412.2857142857142"/>
        <n v="1626.2142857142858"/>
        <n v="1521.2857142857142"/>
        <n v="1488.0"/>
        <n v="1771.575"/>
        <n v="2533.6935483870966"/>
        <n v="3160.1129032258063"/>
        <n v="2492.564516129032"/>
        <n v="896.8333333333334"/>
        <n v="2329.6935483870966"/>
        <n v="2518.016129032258"/>
        <n v="2274.1451612903224"/>
        <n v="2547.1451612903224"/>
        <n v="1249.05"/>
        <n v="1803.6"/>
        <n v="1141.65"/>
        <n v="900.75"/>
        <n v="2824.2580645161293"/>
        <n v="1168.05"/>
        <n v="1203.75"/>
        <n v="1442.1"/>
        <n v="1482.3"/>
        <n v="1562.85"/>
        <n v="1903.725"/>
        <n v="1608.525"/>
        <n v="2231.4473684210525"/>
        <n v="1508.842105263158"/>
        <n v="1442.6842105263158"/>
        <n v="1729.1842105263158"/>
        <n v="1767.3"/>
        <n v="2221.3837209302324"/>
        <n v="2357.3023255813955"/>
        <n v="2132.23828125"/>
        <n v="1837.9767441860465"/>
        <n v="2123.2558139534885"/>
        <n v="2124.4883720930234"/>
        <n v="2471.4418604651164"/>
        <n v="2983.9717741935483"/>
        <n v="3144.144"/>
        <n v="2843.0853658536585"/>
        <n v="2548.524"/>
        <n v="3278.8023255813955"/>
        <n v="2840.652"/>
        <n v="2867.1"/>
        <n v="3226.092"/>
        <n v="1916.9583333333333"/>
        <n v="2106.125"/>
        <n v="1749.7297297297298"/>
        <n v="1654.8333333333333"/>
        <n v="4229.685483870968"/>
        <n v="1952.1666666666667"/>
        <n v="1767.9166666666667"/>
        <n v="2101.1666666666665"/>
        <n v="1924.7857142857142"/>
        <n v="2563.714285714286"/>
        <n v="1762.108695652174"/>
        <n v="1558.7142857142858"/>
        <n v="2281.9864864864867"/>
        <n v="1745.5"/>
        <n v="1613.642857142857"/>
        <n v="1985.5714285714287"/>
        <n v="2025.8863636363637"/>
        <n v="1062.8823529411766"/>
        <n v="1263.7058823529412"/>
        <n v="981.6176470588235"/>
        <n v="815.9"/>
        <n v="893.15625"/>
        <n v="959.0"/>
        <n v="1099.9"/>
        <n v="880.2"/>
        <n v="1053.5"/>
        <n v="1029.75"/>
        <n v="843.6"/>
        <n v="1155.7058823529412"/>
        <n v="830.0"/>
        <n v="744.1"/>
        <n v="815.3"/>
        <n v="1402.5"/>
        <n v="1620.078947368421"/>
        <n v="1331.4285714285713"/>
        <n v="1243.657894736842"/>
        <n v="1065.75"/>
        <n v="1430.6052631578948"/>
        <n v="1350.3157894736842"/>
        <n v="1541.2105263157894"/>
        <n v="1639.125"/>
        <n v="3654.101694915254"/>
        <n v="3805.575"/>
        <n v="3199.601694915254"/>
        <n v="2921.55"/>
        <n v="3366.65"/>
        <n v="3299.1"/>
        <n v="3848.275"/>
        <n v="3769.1111111111113"/>
        <n v="3970.8888888888887"/>
        <n v="3393.1111111111113"/>
        <n v="3091.6388888888887"/>
        <n v="3933.9406779661017"/>
        <n v="3640.0"/>
        <n v="3453.6388888888887"/>
        <n v="4069.8611111111113"/>
        <n v="4194.0"/>
        <n v="1194.642857142857"/>
        <n v="944.9166666666666"/>
        <n v="574.0"/>
        <n v="729.4"/>
        <n v="906.09375"/>
        <n v="863.15625"/>
        <n v="859.5"/>
        <n v="848.6666666666666"/>
        <n v="734.75"/>
        <n v="1418.142857142857"/>
        <n v="1353.4285714285713"/>
        <n v="937.6666666666666"/>
        <n v="791.0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Топ-3 города в доле" cacheId="0" dataCaption="" compact="0" compactData="0">
  <location ref="A1:C20" firstHeaderRow="0" firstDataRow="2" firstDataCol="0"/>
  <pivotFields>
    <pivotField name="Да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Неделя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я %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</pivotFields>
  <rowFields>
    <field x="1"/>
  </rowFields>
  <colFields>
    <field x="-2"/>
  </colFields>
  <dataFields>
    <dataField name="SUM of Товарооборот, руб" fld="3" baseField="0"/>
    <dataField name="SUM of Доля %" fld="9" baseField="0"/>
  </dataFields>
</pivotTableDefinition>
</file>

<file path=xl/pivotTables/pivotTable2.xml><?xml version="1.0" encoding="utf-8"?>
<pivotTableDefinition xmlns="http://schemas.openxmlformats.org/spreadsheetml/2006/main" name="Топ-3 города по склад" cacheId="1" dataCaption="" compact="0" compactData="0">
  <location ref="A1:H21" firstHeaderRow="0" firstDataRow="1" firstDataCol="1"/>
  <pivotFields>
    <pivotField name="Да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  <reference field="8">
              <x v="5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Неделя" axis="axisCol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</pivotFields>
  <rowFields>
    <field x="1"/>
  </rowFields>
  <colFields>
    <field x="8"/>
  </colFields>
  <dataFields>
    <dataField name="SUM of Товарооборот на склад" fld="7" baseField="0"/>
  </dataFields>
</pivotTableDefinition>
</file>

<file path=xl/pivotTables/pivotTable3.xml><?xml version="1.0" encoding="utf-8"?>
<pivotTableDefinition xmlns="http://schemas.openxmlformats.org/spreadsheetml/2006/main" name="Города по неделям" cacheId="0" dataCaption="" compact="0" compactData="0">
  <location ref="A1:H21" firstHeaderRow="0" firstDataRow="1" firstDataCol="1"/>
  <pivotFields>
    <pivotField name="Да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ascending">
      <items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Неделя" axis="axisCol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  <pivotField name="Доля %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</pivotFields>
  <rowFields>
    <field x="1"/>
  </rowFields>
  <colFields>
    <field x="8"/>
  </colFields>
  <dataFields>
    <dataField name="SUM of Товарооборот, руб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0.29"/>
    <col customWidth="1" min="5" max="7" width="22.0"/>
    <col customWidth="1" min="8" max="8" width="23.43"/>
    <col customWidth="1" min="9" max="9" width="8.71"/>
    <col customWidth="1" min="10" max="10" width="14.43"/>
    <col customWidth="1" min="11" max="23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4.25" customHeight="1">
      <c r="A2" s="6">
        <v>43982.0</v>
      </c>
      <c r="B2" s="7" t="s">
        <v>10</v>
      </c>
      <c r="C2" s="7">
        <v>7944.0</v>
      </c>
      <c r="D2" s="7">
        <v>623971.5</v>
      </c>
      <c r="E2" s="8">
        <f t="array" ref="E2">INDEX('Лист2'!$C$2:$C$505, MATCH(A2&amp;B2, 'Лист2'!$A$2:$A$505&amp;'Лист2'!$B$2:$B$505, 0))</f>
        <v>15</v>
      </c>
      <c r="F2" s="8">
        <f t="array" ref="F2">INDEX('Лист2'!$D$2:$D$505, MATCH(A2&amp;B2, 'Лист2'!$A$2:$A$505&amp;'Лист2'!$B$2:$B$505, 0))</f>
        <v>441</v>
      </c>
      <c r="G2" s="8">
        <f t="array" ref="G2">INDEX('Лист2'!$E$2:$E$505, MATCH(A2&amp;B2, 'Лист2'!$A$2:$A$505&amp;'Лист2'!$B$2:$B$505, 0))</f>
        <v>368</v>
      </c>
      <c r="H2" s="9">
        <f t="shared" ref="H2:H505" si="1">C2/E2</f>
        <v>529.6</v>
      </c>
      <c r="I2" s="9">
        <f t="shared" ref="I2:I505" si="2">ISOWEEKNUM(A2)</f>
        <v>22</v>
      </c>
      <c r="J2" s="10">
        <f t="shared" ref="J2:J505" si="3">D2/SUM($D$2:$D$505)*100</f>
        <v>0.01257408972</v>
      </c>
    </row>
    <row r="3" ht="14.25" customHeight="1">
      <c r="A3" s="11">
        <v>43981.0</v>
      </c>
      <c r="B3" s="12" t="s">
        <v>10</v>
      </c>
      <c r="C3" s="12">
        <v>10029.0</v>
      </c>
      <c r="D3" s="12">
        <v>787101.0</v>
      </c>
      <c r="E3" s="8">
        <f t="array" ref="E3">INDEX('Лист2'!$C$2:$C$505, MATCH(A3&amp;B3, 'Лист2'!$A$2:$A$505&amp;'Лист2'!$B$2:$B$505, 0))</f>
        <v>15</v>
      </c>
      <c r="F3" s="8">
        <f t="array" ref="F3">INDEX('Лист2'!$D$2:$D$505, MATCH(A3&amp;B3, 'Лист2'!$A$2:$A$505&amp;'Лист2'!$B$2:$B$505, 0))</f>
        <v>490</v>
      </c>
      <c r="G3" s="8">
        <f t="array" ref="G3">INDEX('Лист2'!$E$2:$E$505, MATCH(A3&amp;B3, 'Лист2'!$A$2:$A$505&amp;'Лист2'!$B$2:$B$505, 0))</f>
        <v>409</v>
      </c>
      <c r="H3" s="9">
        <f t="shared" si="1"/>
        <v>668.6</v>
      </c>
      <c r="I3" s="9">
        <f t="shared" si="2"/>
        <v>22</v>
      </c>
      <c r="J3" s="10">
        <f t="shared" si="3"/>
        <v>0.01586142731</v>
      </c>
    </row>
    <row r="4" ht="14.25" customHeight="1">
      <c r="A4" s="6">
        <v>43979.0</v>
      </c>
      <c r="B4" s="7" t="s">
        <v>10</v>
      </c>
      <c r="C4" s="7">
        <v>8536.5</v>
      </c>
      <c r="D4" s="7">
        <v>643944.0</v>
      </c>
      <c r="E4" s="8">
        <f t="array" ref="E4">INDEX('Лист2'!$C$2:$C$505, MATCH(A4&amp;B4, 'Лист2'!$A$2:$A$505&amp;'Лист2'!$B$2:$B$505, 0))</f>
        <v>15</v>
      </c>
      <c r="F4" s="8">
        <f t="array" ref="F4">INDEX('Лист2'!$D$2:$D$505, MATCH(A4&amp;B4, 'Лист2'!$A$2:$A$505&amp;'Лист2'!$B$2:$B$505, 0))</f>
        <v>464</v>
      </c>
      <c r="G4" s="8">
        <f t="array" ref="G4">INDEX('Лист2'!$E$2:$E$505, MATCH(A4&amp;B4, 'Лист2'!$A$2:$A$505&amp;'Лист2'!$B$2:$B$505, 0))</f>
        <v>390</v>
      </c>
      <c r="H4" s="9">
        <f t="shared" si="1"/>
        <v>569.1</v>
      </c>
      <c r="I4" s="9">
        <f t="shared" si="2"/>
        <v>22</v>
      </c>
      <c r="J4" s="10">
        <f t="shared" si="3"/>
        <v>0.01297656965</v>
      </c>
    </row>
    <row r="5" ht="14.25" customHeight="1">
      <c r="A5" s="11">
        <v>43967.0</v>
      </c>
      <c r="B5" s="12" t="s">
        <v>11</v>
      </c>
      <c r="C5" s="12">
        <v>38947.5</v>
      </c>
      <c r="D5" s="12">
        <v>3395892.0</v>
      </c>
      <c r="E5" s="8">
        <f t="array" ref="E5">INDEX('Лист2'!$C$2:$C$505, MATCH(A5&amp;B5, 'Лист2'!$A$2:$A$505&amp;'Лист2'!$B$2:$B$505, 0))</f>
        <v>21</v>
      </c>
      <c r="F5" s="8">
        <f t="array" ref="F5">INDEX('Лист2'!$D$2:$D$505, MATCH(A5&amp;B5, 'Лист2'!$A$2:$A$505&amp;'Лист2'!$B$2:$B$505, 0))</f>
        <v>2145</v>
      </c>
      <c r="G5" s="8">
        <f t="array" ref="G5">INDEX('Лист2'!$E$2:$E$505, MATCH(A5&amp;B5, 'Лист2'!$A$2:$A$505&amp;'Лист2'!$B$2:$B$505, 0))</f>
        <v>1947</v>
      </c>
      <c r="H5" s="9">
        <f t="shared" si="1"/>
        <v>1854.642857</v>
      </c>
      <c r="I5" s="9">
        <f t="shared" si="2"/>
        <v>20</v>
      </c>
      <c r="J5" s="10">
        <f t="shared" si="3"/>
        <v>0.06843301445</v>
      </c>
    </row>
    <row r="6" ht="14.25" customHeight="1">
      <c r="A6" s="6">
        <v>43970.0</v>
      </c>
      <c r="B6" s="7" t="s">
        <v>11</v>
      </c>
      <c r="C6" s="7">
        <v>31842.0</v>
      </c>
      <c r="D6" s="7">
        <v>2771116.5</v>
      </c>
      <c r="E6" s="8">
        <f t="array" ref="E6">INDEX('Лист2'!$C$2:$C$505, MATCH(A6&amp;B6, 'Лист2'!$A$2:$A$505&amp;'Лист2'!$B$2:$B$505, 0))</f>
        <v>21</v>
      </c>
      <c r="F6" s="8">
        <f t="array" ref="F6">INDEX('Лист2'!$D$2:$D$505, MATCH(A6&amp;B6, 'Лист2'!$A$2:$A$505&amp;'Лист2'!$B$2:$B$505, 0))</f>
        <v>1860</v>
      </c>
      <c r="G6" s="8">
        <f t="array" ref="G6">INDEX('Лист2'!$E$2:$E$505, MATCH(A6&amp;B6, 'Лист2'!$A$2:$A$505&amp;'Лист2'!$B$2:$B$505, 0))</f>
        <v>1704</v>
      </c>
      <c r="H6" s="9">
        <f t="shared" si="1"/>
        <v>1516.285714</v>
      </c>
      <c r="I6" s="9">
        <f t="shared" si="2"/>
        <v>21</v>
      </c>
      <c r="J6" s="10">
        <f t="shared" si="3"/>
        <v>0.05584272276</v>
      </c>
    </row>
    <row r="7" ht="14.25" customHeight="1">
      <c r="A7" s="11">
        <v>43968.0</v>
      </c>
      <c r="B7" s="12" t="s">
        <v>11</v>
      </c>
      <c r="C7" s="12">
        <v>32023.5</v>
      </c>
      <c r="D7" s="12">
        <v>2882458.5</v>
      </c>
      <c r="E7" s="8">
        <f t="array" ref="E7">INDEX('Лист2'!$C$2:$C$505, MATCH(A7&amp;B7, 'Лист2'!$A$2:$A$505&amp;'Лист2'!$B$2:$B$505, 0))</f>
        <v>21</v>
      </c>
      <c r="F7" s="8">
        <f t="array" ref="F7">INDEX('Лист2'!$D$2:$D$505, MATCH(A7&amp;B7, 'Лист2'!$A$2:$A$505&amp;'Лист2'!$B$2:$B$505, 0))</f>
        <v>1874</v>
      </c>
      <c r="G7" s="8">
        <f t="array" ref="G7">INDEX('Лист2'!$E$2:$E$505, MATCH(A7&amp;B7, 'Лист2'!$A$2:$A$505&amp;'Лист2'!$B$2:$B$505, 0))</f>
        <v>1705</v>
      </c>
      <c r="H7" s="9">
        <f t="shared" si="1"/>
        <v>1524.928571</v>
      </c>
      <c r="I7" s="9">
        <f t="shared" si="2"/>
        <v>20</v>
      </c>
      <c r="J7" s="10">
        <f t="shared" si="3"/>
        <v>0.05808645392</v>
      </c>
    </row>
    <row r="8" ht="14.25" customHeight="1">
      <c r="A8" s="6">
        <v>43960.0</v>
      </c>
      <c r="B8" s="7" t="s">
        <v>11</v>
      </c>
      <c r="C8" s="7">
        <v>31147.5</v>
      </c>
      <c r="D8" s="7">
        <v>2831019.0</v>
      </c>
      <c r="E8" s="8">
        <f t="array" ref="E8">INDEX('Лист2'!$C$2:$C$505, MATCH(A8&amp;B8, 'Лист2'!$A$2:$A$505&amp;'Лист2'!$B$2:$B$505, 0))</f>
        <v>21</v>
      </c>
      <c r="F8" s="8">
        <f t="array" ref="F8">INDEX('Лист2'!$D$2:$D$505, MATCH(A8&amp;B8, 'Лист2'!$A$2:$A$505&amp;'Лист2'!$B$2:$B$505, 0))</f>
        <v>1735</v>
      </c>
      <c r="G8" s="8">
        <f t="array" ref="G8">INDEX('Лист2'!$E$2:$E$505, MATCH(A8&amp;B8, 'Лист2'!$A$2:$A$505&amp;'Лист2'!$B$2:$B$505, 0))</f>
        <v>1568</v>
      </c>
      <c r="H8" s="9">
        <f t="shared" si="1"/>
        <v>1483.214286</v>
      </c>
      <c r="I8" s="9">
        <f t="shared" si="2"/>
        <v>19</v>
      </c>
      <c r="J8" s="10">
        <f t="shared" si="3"/>
        <v>0.05704986028</v>
      </c>
    </row>
    <row r="9" ht="14.25" customHeight="1">
      <c r="A9" s="11">
        <v>43955.0</v>
      </c>
      <c r="B9" s="12" t="s">
        <v>11</v>
      </c>
      <c r="C9" s="12">
        <v>25566.0</v>
      </c>
      <c r="D9" s="12">
        <v>2372310.0</v>
      </c>
      <c r="E9" s="8">
        <f t="array" ref="E9">INDEX('Лист2'!$C$2:$C$505, MATCH(A9&amp;B9, 'Лист2'!$A$2:$A$505&amp;'Лист2'!$B$2:$B$505, 0))</f>
        <v>20</v>
      </c>
      <c r="F9" s="8">
        <f t="array" ref="F9">INDEX('Лист2'!$D$2:$D$505, MATCH(A9&amp;B9, 'Лист2'!$A$2:$A$505&amp;'Лист2'!$B$2:$B$505, 0))</f>
        <v>1519</v>
      </c>
      <c r="G9" s="8">
        <f t="array" ref="G9">INDEX('Лист2'!$E$2:$E$505, MATCH(A9&amp;B9, 'Лист2'!$A$2:$A$505&amp;'Лист2'!$B$2:$B$505, 0))</f>
        <v>1372</v>
      </c>
      <c r="H9" s="9">
        <f t="shared" si="1"/>
        <v>1278.3</v>
      </c>
      <c r="I9" s="9">
        <f t="shared" si="2"/>
        <v>19</v>
      </c>
      <c r="J9" s="10">
        <f t="shared" si="3"/>
        <v>0.04780609174</v>
      </c>
    </row>
    <row r="10" ht="14.25" customHeight="1">
      <c r="A10" s="6">
        <v>43950.0</v>
      </c>
      <c r="B10" s="7" t="s">
        <v>11</v>
      </c>
      <c r="C10" s="7">
        <v>29319.0</v>
      </c>
      <c r="D10" s="7">
        <v>2623480.5</v>
      </c>
      <c r="E10" s="8">
        <f t="array" ref="E10">INDEX('Лист2'!$C$2:$C$505, MATCH(A10&amp;B10, 'Лист2'!$A$2:$A$505&amp;'Лист2'!$B$2:$B$505, 0))</f>
        <v>18</v>
      </c>
      <c r="F10" s="8">
        <f t="array" ref="F10">INDEX('Лист2'!$D$2:$D$505, MATCH(A10&amp;B10, 'Лист2'!$A$2:$A$505&amp;'Лист2'!$B$2:$B$505, 0))</f>
        <v>1684</v>
      </c>
      <c r="G10" s="8">
        <f t="array" ref="G10">INDEX('Лист2'!$E$2:$E$505, MATCH(A10&amp;B10, 'Лист2'!$A$2:$A$505&amp;'Лист2'!$B$2:$B$505, 0))</f>
        <v>1528</v>
      </c>
      <c r="H10" s="9">
        <f t="shared" si="1"/>
        <v>1628.833333</v>
      </c>
      <c r="I10" s="9">
        <f t="shared" si="2"/>
        <v>18</v>
      </c>
      <c r="J10" s="10">
        <f t="shared" si="3"/>
        <v>0.05286760561</v>
      </c>
    </row>
    <row r="11" ht="14.25" customHeight="1">
      <c r="A11" s="11">
        <v>43953.0</v>
      </c>
      <c r="B11" s="12" t="s">
        <v>11</v>
      </c>
      <c r="C11" s="12">
        <v>29031.0</v>
      </c>
      <c r="D11" s="12">
        <v>2711247.0</v>
      </c>
      <c r="E11" s="8">
        <f t="array" ref="E11">INDEX('Лист2'!$C$2:$C$505, MATCH(A11&amp;B11, 'Лист2'!$A$2:$A$505&amp;'Лист2'!$B$2:$B$505, 0))</f>
        <v>18</v>
      </c>
      <c r="F11" s="8">
        <f t="array" ref="F11">INDEX('Лист2'!$D$2:$D$505, MATCH(A11&amp;B11, 'Лист2'!$A$2:$A$505&amp;'Лист2'!$B$2:$B$505, 0))</f>
        <v>1708</v>
      </c>
      <c r="G11" s="8">
        <f t="array" ref="G11">INDEX('Лист2'!$E$2:$E$505, MATCH(A11&amp;B11, 'Лист2'!$A$2:$A$505&amp;'Лист2'!$B$2:$B$505, 0))</f>
        <v>1534</v>
      </c>
      <c r="H11" s="9">
        <f t="shared" si="1"/>
        <v>1612.833333</v>
      </c>
      <c r="I11" s="9">
        <f t="shared" si="2"/>
        <v>18</v>
      </c>
      <c r="J11" s="10">
        <f t="shared" si="3"/>
        <v>0.05463625025</v>
      </c>
    </row>
    <row r="12" ht="14.25" customHeight="1">
      <c r="A12" s="6">
        <v>43977.0</v>
      </c>
      <c r="B12" s="7" t="s">
        <v>11</v>
      </c>
      <c r="C12" s="7">
        <v>33423.0</v>
      </c>
      <c r="D12" s="7">
        <v>2970330.0</v>
      </c>
      <c r="E12" s="8">
        <f t="array" ref="E12">INDEX('Лист2'!$C$2:$C$505, MATCH(A12&amp;B12, 'Лист2'!$A$2:$A$505&amp;'Лист2'!$B$2:$B$505, 0))</f>
        <v>20</v>
      </c>
      <c r="F12" s="8">
        <f t="array" ref="F12">INDEX('Лист2'!$D$2:$D$505, MATCH(A12&amp;B12, 'Лист2'!$A$2:$A$505&amp;'Лист2'!$B$2:$B$505, 0))</f>
        <v>2044</v>
      </c>
      <c r="G12" s="8">
        <f t="array" ref="G12">INDEX('Лист2'!$E$2:$E$505, MATCH(A12&amp;B12, 'Лист2'!$A$2:$A$505&amp;'Лист2'!$B$2:$B$505, 0))</f>
        <v>1863</v>
      </c>
      <c r="H12" s="9">
        <f t="shared" si="1"/>
        <v>1671.15</v>
      </c>
      <c r="I12" s="9">
        <f t="shared" si="2"/>
        <v>22</v>
      </c>
      <c r="J12" s="10">
        <f t="shared" si="3"/>
        <v>0.05985721448</v>
      </c>
    </row>
    <row r="13" ht="14.25" customHeight="1">
      <c r="A13" s="11">
        <v>43952.0</v>
      </c>
      <c r="B13" s="12" t="s">
        <v>11</v>
      </c>
      <c r="C13" s="12">
        <v>32487.0</v>
      </c>
      <c r="D13" s="12">
        <v>3031254.0</v>
      </c>
      <c r="E13" s="8">
        <f t="array" ref="E13">INDEX('Лист2'!$C$2:$C$505, MATCH(A13&amp;B13, 'Лист2'!$A$2:$A$505&amp;'Лист2'!$B$2:$B$505, 0))</f>
        <v>18</v>
      </c>
      <c r="F13" s="8">
        <f t="array" ref="F13">INDEX('Лист2'!$D$2:$D$505, MATCH(A13&amp;B13, 'Лист2'!$A$2:$A$505&amp;'Лист2'!$B$2:$B$505, 0))</f>
        <v>1826</v>
      </c>
      <c r="G13" s="8">
        <f t="array" ref="G13">INDEX('Лист2'!$E$2:$E$505, MATCH(A13&amp;B13, 'Лист2'!$A$2:$A$505&amp;'Лист2'!$B$2:$B$505, 0))</f>
        <v>1633</v>
      </c>
      <c r="H13" s="9">
        <f t="shared" si="1"/>
        <v>1804.833333</v>
      </c>
      <c r="I13" s="9">
        <f t="shared" si="2"/>
        <v>18</v>
      </c>
      <c r="J13" s="10">
        <f t="shared" si="3"/>
        <v>0.06108493697</v>
      </c>
    </row>
    <row r="14" ht="14.25" customHeight="1">
      <c r="A14" s="6">
        <v>43963.0</v>
      </c>
      <c r="B14" s="7" t="s">
        <v>11</v>
      </c>
      <c r="C14" s="7">
        <v>28219.5</v>
      </c>
      <c r="D14" s="7">
        <v>2595778.5</v>
      </c>
      <c r="E14" s="8">
        <f t="array" ref="E14">INDEX('Лист2'!$C$2:$C$505, MATCH(A14&amp;B14, 'Лист2'!$A$2:$A$505&amp;'Лист2'!$B$2:$B$505, 0))</f>
        <v>21</v>
      </c>
      <c r="F14" s="8">
        <f t="array" ref="F14">INDEX('Лист2'!$D$2:$D$505, MATCH(A14&amp;B14, 'Лист2'!$A$2:$A$505&amp;'Лист2'!$B$2:$B$505, 0))</f>
        <v>1656</v>
      </c>
      <c r="G14" s="8">
        <f t="array" ref="G14">INDEX('Лист2'!$E$2:$E$505, MATCH(A14&amp;B14, 'Лист2'!$A$2:$A$505&amp;'Лист2'!$B$2:$B$505, 0))</f>
        <v>1516</v>
      </c>
      <c r="H14" s="9">
        <f t="shared" si="1"/>
        <v>1343.785714</v>
      </c>
      <c r="I14" s="9">
        <f t="shared" si="2"/>
        <v>20</v>
      </c>
      <c r="J14" s="10">
        <f t="shared" si="3"/>
        <v>0.05230936308</v>
      </c>
    </row>
    <row r="15" ht="14.25" customHeight="1">
      <c r="A15" s="11">
        <v>43972.0</v>
      </c>
      <c r="B15" s="12" t="s">
        <v>11</v>
      </c>
      <c r="C15" s="12">
        <v>31272.0</v>
      </c>
      <c r="D15" s="12">
        <v>2744382.0</v>
      </c>
      <c r="E15" s="8">
        <f t="array" ref="E15">INDEX('Лист2'!$C$2:$C$505, MATCH(A15&amp;B15, 'Лист2'!$A$2:$A$505&amp;'Лист2'!$B$2:$B$505, 0))</f>
        <v>21</v>
      </c>
      <c r="F15" s="8">
        <f t="array" ref="F15">INDEX('Лист2'!$D$2:$D$505, MATCH(A15&amp;B15, 'Лист2'!$A$2:$A$505&amp;'Лист2'!$B$2:$B$505, 0))</f>
        <v>1787</v>
      </c>
      <c r="G15" s="8">
        <f t="array" ref="G15">INDEX('Лист2'!$E$2:$E$505, MATCH(A15&amp;B15, 'Лист2'!$A$2:$A$505&amp;'Лист2'!$B$2:$B$505, 0))</f>
        <v>1626</v>
      </c>
      <c r="H15" s="9">
        <f t="shared" si="1"/>
        <v>1489.142857</v>
      </c>
      <c r="I15" s="9">
        <f t="shared" si="2"/>
        <v>21</v>
      </c>
      <c r="J15" s="10">
        <f t="shared" si="3"/>
        <v>0.055303977</v>
      </c>
    </row>
    <row r="16" ht="14.25" customHeight="1">
      <c r="A16" s="6">
        <v>43971.0</v>
      </c>
      <c r="B16" s="7" t="s">
        <v>11</v>
      </c>
      <c r="C16" s="7">
        <v>34077.0</v>
      </c>
      <c r="D16" s="7">
        <v>2929330.5</v>
      </c>
      <c r="E16" s="8">
        <f t="array" ref="E16">INDEX('Лист2'!$C$2:$C$505, MATCH(A16&amp;B16, 'Лист2'!$A$2:$A$505&amp;'Лист2'!$B$2:$B$505, 0))</f>
        <v>21</v>
      </c>
      <c r="F16" s="8">
        <f t="array" ref="F16">INDEX('Лист2'!$D$2:$D$505, MATCH(A16&amp;B16, 'Лист2'!$A$2:$A$505&amp;'Лист2'!$B$2:$B$505, 0))</f>
        <v>1921</v>
      </c>
      <c r="G16" s="8">
        <f t="array" ref="G16">INDEX('Лист2'!$E$2:$E$505, MATCH(A16&amp;B16, 'Лист2'!$A$2:$A$505&amp;'Лист2'!$B$2:$B$505, 0))</f>
        <v>1767</v>
      </c>
      <c r="H16" s="9">
        <f t="shared" si="1"/>
        <v>1622.714286</v>
      </c>
      <c r="I16" s="9">
        <f t="shared" si="2"/>
        <v>21</v>
      </c>
      <c r="J16" s="10">
        <f t="shared" si="3"/>
        <v>0.05903100465</v>
      </c>
    </row>
    <row r="17" ht="14.25" customHeight="1">
      <c r="A17" s="11">
        <v>43956.0</v>
      </c>
      <c r="B17" s="12" t="s">
        <v>11</v>
      </c>
      <c r="C17" s="12">
        <v>31566.0</v>
      </c>
      <c r="D17" s="12">
        <v>2906763.0</v>
      </c>
      <c r="E17" s="8">
        <f t="array" ref="E17">INDEX('Лист2'!$C$2:$C$505, MATCH(A17&amp;B17, 'Лист2'!$A$2:$A$505&amp;'Лист2'!$B$2:$B$505, 0))</f>
        <v>20</v>
      </c>
      <c r="F17" s="8">
        <f t="array" ref="F17">INDEX('Лист2'!$D$2:$D$505, MATCH(A17&amp;B17, 'Лист2'!$A$2:$A$505&amp;'Лист2'!$B$2:$B$505, 0))</f>
        <v>1773</v>
      </c>
      <c r="G17" s="8">
        <f t="array" ref="G17">INDEX('Лист2'!$E$2:$E$505, MATCH(A17&amp;B17, 'Лист2'!$A$2:$A$505&amp;'Лист2'!$B$2:$B$505, 0))</f>
        <v>1604</v>
      </c>
      <c r="H17" s="9">
        <f t="shared" si="1"/>
        <v>1578.3</v>
      </c>
      <c r="I17" s="9">
        <f t="shared" si="2"/>
        <v>19</v>
      </c>
      <c r="J17" s="10">
        <f t="shared" si="3"/>
        <v>0.05857623104</v>
      </c>
    </row>
    <row r="18" ht="14.25" customHeight="1">
      <c r="A18" s="6">
        <v>43949.0</v>
      </c>
      <c r="B18" s="7" t="s">
        <v>11</v>
      </c>
      <c r="C18" s="7">
        <v>26940.0</v>
      </c>
      <c r="D18" s="7">
        <v>2411587.5</v>
      </c>
      <c r="E18" s="8">
        <f t="array" ref="E18">INDEX('Лист2'!$C$2:$C$505, MATCH(A18&amp;B18, 'Лист2'!$A$2:$A$505&amp;'Лист2'!$B$2:$B$505, 0))</f>
        <v>18</v>
      </c>
      <c r="F18" s="8">
        <f t="array" ref="F18">INDEX('Лист2'!$D$2:$D$505, MATCH(A18&amp;B18, 'Лист2'!$A$2:$A$505&amp;'Лист2'!$B$2:$B$505, 0))</f>
        <v>1539</v>
      </c>
      <c r="G18" s="8">
        <f t="array" ref="G18">INDEX('Лист2'!$E$2:$E$505, MATCH(A18&amp;B18, 'Лист2'!$A$2:$A$505&amp;'Лист2'!$B$2:$B$505, 0))</f>
        <v>1404</v>
      </c>
      <c r="H18" s="9">
        <f t="shared" si="1"/>
        <v>1496.666667</v>
      </c>
      <c r="I18" s="9">
        <f t="shared" si="2"/>
        <v>18</v>
      </c>
      <c r="J18" s="10">
        <f t="shared" si="3"/>
        <v>0.04859760035</v>
      </c>
    </row>
    <row r="19" ht="14.25" customHeight="1">
      <c r="A19" s="11">
        <v>43964.0</v>
      </c>
      <c r="B19" s="12" t="s">
        <v>11</v>
      </c>
      <c r="C19" s="12">
        <v>29241.0</v>
      </c>
      <c r="D19" s="12">
        <v>2629782.0</v>
      </c>
      <c r="E19" s="8">
        <f t="array" ref="E19">INDEX('Лист2'!$C$2:$C$505, MATCH(A19&amp;B19, 'Лист2'!$A$2:$A$505&amp;'Лист2'!$B$2:$B$505, 0))</f>
        <v>21</v>
      </c>
      <c r="F19" s="8">
        <f t="array" ref="F19">INDEX('Лист2'!$D$2:$D$505, MATCH(A19&amp;B19, 'Лист2'!$A$2:$A$505&amp;'Лист2'!$B$2:$B$505, 0))</f>
        <v>1698</v>
      </c>
      <c r="G19" s="8">
        <f t="array" ref="G19">INDEX('Лист2'!$E$2:$E$505, MATCH(A19&amp;B19, 'Лист2'!$A$2:$A$505&amp;'Лист2'!$B$2:$B$505, 0))</f>
        <v>1554</v>
      </c>
      <c r="H19" s="9">
        <f t="shared" si="1"/>
        <v>1392.428571</v>
      </c>
      <c r="I19" s="9">
        <f t="shared" si="2"/>
        <v>20</v>
      </c>
      <c r="J19" s="10">
        <f t="shared" si="3"/>
        <v>0.05299459158</v>
      </c>
    </row>
    <row r="20" ht="14.25" customHeight="1">
      <c r="A20" s="6">
        <v>43954.0</v>
      </c>
      <c r="B20" s="7" t="s">
        <v>11</v>
      </c>
      <c r="C20" s="7">
        <v>26082.0</v>
      </c>
      <c r="D20" s="7">
        <v>2434914.0</v>
      </c>
      <c r="E20" s="8">
        <f t="array" ref="E20">INDEX('Лист2'!$C$2:$C$505, MATCH(A20&amp;B20, 'Лист2'!$A$2:$A$505&amp;'Лист2'!$B$2:$B$505, 0))</f>
        <v>20</v>
      </c>
      <c r="F20" s="8">
        <f t="array" ref="F20">INDEX('Лист2'!$D$2:$D$505, MATCH(A20&amp;B20, 'Лист2'!$A$2:$A$505&amp;'Лист2'!$B$2:$B$505, 0))</f>
        <v>1520</v>
      </c>
      <c r="G20" s="8">
        <f t="array" ref="G20">INDEX('Лист2'!$E$2:$E$505, MATCH(A20&amp;B20, 'Лист2'!$A$2:$A$505&amp;'Лист2'!$B$2:$B$505, 0))</f>
        <v>1373</v>
      </c>
      <c r="H20" s="9">
        <f t="shared" si="1"/>
        <v>1304.1</v>
      </c>
      <c r="I20" s="9">
        <f t="shared" si="2"/>
        <v>18</v>
      </c>
      <c r="J20" s="10">
        <f t="shared" si="3"/>
        <v>0.0490676691</v>
      </c>
    </row>
    <row r="21" ht="14.25" customHeight="1">
      <c r="A21" s="11">
        <v>43957.0</v>
      </c>
      <c r="B21" s="12" t="s">
        <v>11</v>
      </c>
      <c r="C21" s="12">
        <v>32511.0</v>
      </c>
      <c r="D21" s="12">
        <v>2938623.0</v>
      </c>
      <c r="E21" s="8">
        <f t="array" ref="E21">INDEX('Лист2'!$C$2:$C$505, MATCH(A21&amp;B21, 'Лист2'!$A$2:$A$505&amp;'Лист2'!$B$2:$B$505, 0))</f>
        <v>20</v>
      </c>
      <c r="F21" s="8">
        <f t="array" ref="F21">INDEX('Лист2'!$D$2:$D$505, MATCH(A21&amp;B21, 'Лист2'!$A$2:$A$505&amp;'Лист2'!$B$2:$B$505, 0))</f>
        <v>1784</v>
      </c>
      <c r="G21" s="8">
        <f t="array" ref="G21">INDEX('Лист2'!$E$2:$E$505, MATCH(A21&amp;B21, 'Лист2'!$A$2:$A$505&amp;'Лист2'!$B$2:$B$505, 0))</f>
        <v>1632</v>
      </c>
      <c r="H21" s="9">
        <f t="shared" si="1"/>
        <v>1625.55</v>
      </c>
      <c r="I21" s="9">
        <f t="shared" si="2"/>
        <v>19</v>
      </c>
      <c r="J21" s="10">
        <f t="shared" si="3"/>
        <v>0.05921826437</v>
      </c>
    </row>
    <row r="22" ht="14.25" customHeight="1">
      <c r="A22" s="6">
        <v>43974.0</v>
      </c>
      <c r="B22" s="7" t="s">
        <v>11</v>
      </c>
      <c r="C22" s="7">
        <v>42703.5</v>
      </c>
      <c r="D22" s="7">
        <v>3628726.5</v>
      </c>
      <c r="E22" s="8">
        <f t="array" ref="E22">INDEX('Лист2'!$C$2:$C$505, MATCH(A22&amp;B22, 'Лист2'!$A$2:$A$505&amp;'Лист2'!$B$2:$B$505, 0))</f>
        <v>21</v>
      </c>
      <c r="F22" s="8">
        <f t="array" ref="F22">INDEX('Лист2'!$D$2:$D$505, MATCH(A22&amp;B22, 'Лист2'!$A$2:$A$505&amp;'Лист2'!$B$2:$B$505, 0))</f>
        <v>2340</v>
      </c>
      <c r="G22" s="8">
        <f t="array" ref="G22">INDEX('Лист2'!$E$2:$E$505, MATCH(A22&amp;B22, 'Лист2'!$A$2:$A$505&amp;'Лист2'!$B$2:$B$505, 0))</f>
        <v>2146</v>
      </c>
      <c r="H22" s="9">
        <f t="shared" si="1"/>
        <v>2033.5</v>
      </c>
      <c r="I22" s="9">
        <f t="shared" si="2"/>
        <v>21</v>
      </c>
      <c r="J22" s="10">
        <f t="shared" si="3"/>
        <v>0.07312502665</v>
      </c>
    </row>
    <row r="23" ht="14.25" customHeight="1">
      <c r="A23" s="11">
        <v>43976.0</v>
      </c>
      <c r="B23" s="12" t="s">
        <v>11</v>
      </c>
      <c r="C23" s="12">
        <v>35592.0</v>
      </c>
      <c r="D23" s="12">
        <v>3176580.0</v>
      </c>
      <c r="E23" s="8">
        <f t="array" ref="E23">INDEX('Лист2'!$C$2:$C$505, MATCH(A23&amp;B23, 'Лист2'!$A$2:$A$505&amp;'Лист2'!$B$2:$B$505, 0))</f>
        <v>20</v>
      </c>
      <c r="F23" s="8">
        <f t="array" ref="F23">INDEX('Лист2'!$D$2:$D$505, MATCH(A23&amp;B23, 'Лист2'!$A$2:$A$505&amp;'Лист2'!$B$2:$B$505, 0))</f>
        <v>2087</v>
      </c>
      <c r="G23" s="8">
        <f t="array" ref="G23">INDEX('Лист2'!$E$2:$E$505, MATCH(A23&amp;B23, 'Лист2'!$A$2:$A$505&amp;'Лист2'!$B$2:$B$505, 0))</f>
        <v>1914</v>
      </c>
      <c r="H23" s="9">
        <f t="shared" si="1"/>
        <v>1779.6</v>
      </c>
      <c r="I23" s="9">
        <f t="shared" si="2"/>
        <v>22</v>
      </c>
      <c r="J23" s="10">
        <f t="shared" si="3"/>
        <v>0.06401350368</v>
      </c>
    </row>
    <row r="24" ht="14.25" customHeight="1">
      <c r="A24" s="6">
        <v>43951.0</v>
      </c>
      <c r="B24" s="7" t="s">
        <v>11</v>
      </c>
      <c r="C24" s="7">
        <v>30445.5</v>
      </c>
      <c r="D24" s="7">
        <v>2817196.5</v>
      </c>
      <c r="E24" s="8">
        <f t="array" ref="E24">INDEX('Лист2'!$C$2:$C$505, MATCH(A24&amp;B24, 'Лист2'!$A$2:$A$505&amp;'Лист2'!$B$2:$B$505, 0))</f>
        <v>19</v>
      </c>
      <c r="F24" s="8">
        <f t="array" ref="F24">INDEX('Лист2'!$D$2:$D$505, MATCH(A24&amp;B24, 'Лист2'!$A$2:$A$505&amp;'Лист2'!$B$2:$B$505, 0))</f>
        <v>1712</v>
      </c>
      <c r="G24" s="8">
        <f t="array" ref="G24">INDEX('Лист2'!$E$2:$E$505, MATCH(A24&amp;B24, 'Лист2'!$A$2:$A$505&amp;'Лист2'!$B$2:$B$505, 0))</f>
        <v>1552</v>
      </c>
      <c r="H24" s="9">
        <f t="shared" si="1"/>
        <v>1602.394737</v>
      </c>
      <c r="I24" s="9">
        <f t="shared" si="2"/>
        <v>18</v>
      </c>
      <c r="J24" s="10">
        <f t="shared" si="3"/>
        <v>0.05677131334</v>
      </c>
    </row>
    <row r="25" ht="14.25" customHeight="1">
      <c r="A25" s="11">
        <v>43961.0</v>
      </c>
      <c r="B25" s="12" t="s">
        <v>11</v>
      </c>
      <c r="C25" s="12">
        <v>36619.5</v>
      </c>
      <c r="D25" s="12">
        <v>3312967.5</v>
      </c>
      <c r="E25" s="8">
        <f t="array" ref="E25">INDEX('Лист2'!$C$2:$C$505, MATCH(A25&amp;B25, 'Лист2'!$A$2:$A$505&amp;'Лист2'!$B$2:$B$505, 0))</f>
        <v>21</v>
      </c>
      <c r="F25" s="8">
        <f t="array" ref="F25">INDEX('Лист2'!$D$2:$D$505, MATCH(A25&amp;B25, 'Лист2'!$A$2:$A$505&amp;'Лист2'!$B$2:$B$505, 0))</f>
        <v>2016</v>
      </c>
      <c r="G25" s="8">
        <f t="array" ref="G25">INDEX('Лист2'!$E$2:$E$505, MATCH(A25&amp;B25, 'Лист2'!$A$2:$A$505&amp;'Лист2'!$B$2:$B$505, 0))</f>
        <v>1846</v>
      </c>
      <c r="H25" s="9">
        <f t="shared" si="1"/>
        <v>1743.785714</v>
      </c>
      <c r="I25" s="9">
        <f t="shared" si="2"/>
        <v>19</v>
      </c>
      <c r="J25" s="10">
        <f t="shared" si="3"/>
        <v>0.06676194437</v>
      </c>
    </row>
    <row r="26" ht="14.25" customHeight="1">
      <c r="A26" s="6">
        <v>43959.0</v>
      </c>
      <c r="B26" s="7" t="s">
        <v>11</v>
      </c>
      <c r="C26" s="7">
        <v>29409.0</v>
      </c>
      <c r="D26" s="7">
        <v>2645160.0</v>
      </c>
      <c r="E26" s="8">
        <f t="array" ref="E26">INDEX('Лист2'!$C$2:$C$505, MATCH(A26&amp;B26, 'Лист2'!$A$2:$A$505&amp;'Лист2'!$B$2:$B$505, 0))</f>
        <v>21</v>
      </c>
      <c r="F26" s="8">
        <f t="array" ref="F26">INDEX('Лист2'!$D$2:$D$505, MATCH(A26&amp;B26, 'Лист2'!$A$2:$A$505&amp;'Лист2'!$B$2:$B$505, 0))</f>
        <v>1646</v>
      </c>
      <c r="G26" s="8">
        <f t="array" ref="G26">INDEX('Лист2'!$E$2:$E$505, MATCH(A26&amp;B26, 'Лист2'!$A$2:$A$505&amp;'Лист2'!$B$2:$B$505, 0))</f>
        <v>1492</v>
      </c>
      <c r="H26" s="9">
        <f t="shared" si="1"/>
        <v>1400.428571</v>
      </c>
      <c r="I26" s="9">
        <f t="shared" si="2"/>
        <v>19</v>
      </c>
      <c r="J26" s="10">
        <f t="shared" si="3"/>
        <v>0.05330448451</v>
      </c>
    </row>
    <row r="27" ht="14.25" customHeight="1">
      <c r="A27" s="11">
        <v>43958.0</v>
      </c>
      <c r="B27" s="12" t="s">
        <v>11</v>
      </c>
      <c r="C27" s="12">
        <v>27018.0</v>
      </c>
      <c r="D27" s="12">
        <v>2472213.0</v>
      </c>
      <c r="E27" s="8">
        <f t="array" ref="E27">INDEX('Лист2'!$C$2:$C$505, MATCH(A27&amp;B27, 'Лист2'!$A$2:$A$505&amp;'Лист2'!$B$2:$B$505, 0))</f>
        <v>21</v>
      </c>
      <c r="F27" s="8">
        <f t="array" ref="F27">INDEX('Лист2'!$D$2:$D$505, MATCH(A27&amp;B27, 'Лист2'!$A$2:$A$505&amp;'Лист2'!$B$2:$B$505, 0))</f>
        <v>1542</v>
      </c>
      <c r="G27" s="8">
        <f t="array" ref="G27">INDEX('Лист2'!$E$2:$E$505, MATCH(A27&amp;B27, 'Лист2'!$A$2:$A$505&amp;'Лист2'!$B$2:$B$505, 0))</f>
        <v>1405</v>
      </c>
      <c r="H27" s="9">
        <f t="shared" si="1"/>
        <v>1286.571429</v>
      </c>
      <c r="I27" s="9">
        <f t="shared" si="2"/>
        <v>19</v>
      </c>
      <c r="J27" s="10">
        <f t="shared" si="3"/>
        <v>0.04981930755</v>
      </c>
    </row>
    <row r="28" ht="14.25" customHeight="1">
      <c r="A28" s="6">
        <v>43975.0</v>
      </c>
      <c r="B28" s="7" t="s">
        <v>11</v>
      </c>
      <c r="C28" s="7">
        <v>34303.5</v>
      </c>
      <c r="D28" s="7">
        <v>2924746.5</v>
      </c>
      <c r="E28" s="8">
        <f t="array" ref="E28">INDEX('Лист2'!$C$2:$C$505, MATCH(A28&amp;B28, 'Лист2'!$A$2:$A$505&amp;'Лист2'!$B$2:$B$505, 0))</f>
        <v>20</v>
      </c>
      <c r="F28" s="8">
        <f t="array" ref="F28">INDEX('Лист2'!$D$2:$D$505, MATCH(A28&amp;B28, 'Лист2'!$A$2:$A$505&amp;'Лист2'!$B$2:$B$505, 0))</f>
        <v>1999</v>
      </c>
      <c r="G28" s="8">
        <f t="array" ref="G28">INDEX('Лист2'!$E$2:$E$505, MATCH(A28&amp;B28, 'Лист2'!$A$2:$A$505&amp;'Лист2'!$B$2:$B$505, 0))</f>
        <v>1829</v>
      </c>
      <c r="H28" s="9">
        <f t="shared" si="1"/>
        <v>1715.175</v>
      </c>
      <c r="I28" s="9">
        <f t="shared" si="2"/>
        <v>21</v>
      </c>
      <c r="J28" s="10">
        <f t="shared" si="3"/>
        <v>0.05893862923</v>
      </c>
    </row>
    <row r="29" ht="14.25" customHeight="1">
      <c r="A29" s="11">
        <v>43982.0</v>
      </c>
      <c r="B29" s="12" t="s">
        <v>11</v>
      </c>
      <c r="C29" s="12">
        <v>36999.0</v>
      </c>
      <c r="D29" s="12">
        <v>3473895.0</v>
      </c>
      <c r="E29" s="8">
        <f t="array" ref="E29">INDEX('Лист2'!$C$2:$C$505, MATCH(A29&amp;B29, 'Лист2'!$A$2:$A$505&amp;'Лист2'!$B$2:$B$505, 0))</f>
        <v>21</v>
      </c>
      <c r="F29" s="8">
        <f t="array" ref="F29">INDEX('Лист2'!$D$2:$D$505, MATCH(A29&amp;B29, 'Лист2'!$A$2:$A$505&amp;'Лист2'!$B$2:$B$505, 0))</f>
        <v>2271</v>
      </c>
      <c r="G29" s="8">
        <f t="array" ref="G29">INDEX('Лист2'!$E$2:$E$505, MATCH(A29&amp;B29, 'Лист2'!$A$2:$A$505&amp;'Лист2'!$B$2:$B$505, 0))</f>
        <v>2085</v>
      </c>
      <c r="H29" s="9">
        <f t="shared" si="1"/>
        <v>1761.857143</v>
      </c>
      <c r="I29" s="9">
        <f t="shared" si="2"/>
        <v>22</v>
      </c>
      <c r="J29" s="10">
        <f t="shared" si="3"/>
        <v>0.07000490791</v>
      </c>
    </row>
    <row r="30" ht="14.25" customHeight="1">
      <c r="A30" s="6">
        <v>43981.0</v>
      </c>
      <c r="B30" s="7" t="s">
        <v>11</v>
      </c>
      <c r="C30" s="7">
        <v>44001.0</v>
      </c>
      <c r="D30" s="7">
        <v>3921784.5</v>
      </c>
      <c r="E30" s="8">
        <f t="array" ref="E30">INDEX('Лист2'!$C$2:$C$505, MATCH(A30&amp;B30, 'Лист2'!$A$2:$A$505&amp;'Лист2'!$B$2:$B$505, 0))</f>
        <v>20</v>
      </c>
      <c r="F30" s="8">
        <f t="array" ref="F30">INDEX('Лист2'!$D$2:$D$505, MATCH(A30&amp;B30, 'Лист2'!$A$2:$A$505&amp;'Лист2'!$B$2:$B$505, 0))</f>
        <v>2597</v>
      </c>
      <c r="G30" s="8">
        <f t="array" ref="G30">INDEX('Лист2'!$E$2:$E$505, MATCH(A30&amp;B30, 'Лист2'!$A$2:$A$505&amp;'Лист2'!$B$2:$B$505, 0))</f>
        <v>2376</v>
      </c>
      <c r="H30" s="9">
        <f t="shared" si="1"/>
        <v>2200.05</v>
      </c>
      <c r="I30" s="9">
        <f t="shared" si="2"/>
        <v>22</v>
      </c>
      <c r="J30" s="10">
        <f t="shared" si="3"/>
        <v>0.07903064507</v>
      </c>
    </row>
    <row r="31" ht="14.25" customHeight="1">
      <c r="A31" s="11">
        <v>43979.0</v>
      </c>
      <c r="B31" s="12" t="s">
        <v>11</v>
      </c>
      <c r="C31" s="12">
        <v>30982.5</v>
      </c>
      <c r="D31" s="12">
        <v>2827773.0</v>
      </c>
      <c r="E31" s="8">
        <f t="array" ref="E31">INDEX('Лист2'!$C$2:$C$505, MATCH(A31&amp;B31, 'Лист2'!$A$2:$A$505&amp;'Лист2'!$B$2:$B$505, 0))</f>
        <v>20</v>
      </c>
      <c r="F31" s="8">
        <f t="array" ref="F31">INDEX('Лист2'!$D$2:$D$505, MATCH(A31&amp;B31, 'Лист2'!$A$2:$A$505&amp;'Лист2'!$B$2:$B$505, 0))</f>
        <v>1886</v>
      </c>
      <c r="G31" s="8">
        <f t="array" ref="G31">INDEX('Лист2'!$E$2:$E$505, MATCH(A31&amp;B31, 'Лист2'!$A$2:$A$505&amp;'Лист2'!$B$2:$B$505, 0))</f>
        <v>1736</v>
      </c>
      <c r="H31" s="9">
        <f t="shared" si="1"/>
        <v>1549.125</v>
      </c>
      <c r="I31" s="9">
        <f t="shared" si="2"/>
        <v>22</v>
      </c>
      <c r="J31" s="10">
        <f t="shared" si="3"/>
        <v>0.05698444785</v>
      </c>
    </row>
    <row r="32" ht="14.25" customHeight="1">
      <c r="A32" s="6">
        <v>43967.0</v>
      </c>
      <c r="B32" s="7" t="s">
        <v>12</v>
      </c>
      <c r="C32" s="7">
        <v>88063.5</v>
      </c>
      <c r="D32" s="7">
        <v>7583758.5</v>
      </c>
      <c r="E32" s="8">
        <f t="array" ref="E32">INDEX('Лист2'!$C$2:$C$505, MATCH(A32&amp;B32, 'Лист2'!$A$2:$A$505&amp;'Лист2'!$B$2:$B$505, 0))</f>
        <v>31</v>
      </c>
      <c r="F32" s="8">
        <f t="array" ref="F32">INDEX('Лист2'!$D$2:$D$505, MATCH(A32&amp;B32, 'Лист2'!$A$2:$A$505&amp;'Лист2'!$B$2:$B$505, 0))</f>
        <v>5593</v>
      </c>
      <c r="G32" s="8">
        <f t="array" ref="G32">INDEX('Лист2'!$E$2:$E$505, MATCH(A32&amp;B32, 'Лист2'!$A$2:$A$505&amp;'Лист2'!$B$2:$B$505, 0))</f>
        <v>5177</v>
      </c>
      <c r="H32" s="9">
        <f t="shared" si="1"/>
        <v>2840.758065</v>
      </c>
      <c r="I32" s="9">
        <f t="shared" si="2"/>
        <v>20</v>
      </c>
      <c r="J32" s="10">
        <f t="shared" si="3"/>
        <v>0.1528256655</v>
      </c>
    </row>
    <row r="33" ht="14.25" customHeight="1">
      <c r="A33" s="11">
        <v>43970.0</v>
      </c>
      <c r="B33" s="12" t="s">
        <v>12</v>
      </c>
      <c r="C33" s="12">
        <v>84024.0</v>
      </c>
      <c r="D33" s="12">
        <v>6815511.0</v>
      </c>
      <c r="E33" s="8">
        <f t="array" ref="E33">INDEX('Лист2'!$C$2:$C$505, MATCH(A33&amp;B33, 'Лист2'!$A$2:$A$505&amp;'Лист2'!$B$2:$B$505, 0))</f>
        <v>31</v>
      </c>
      <c r="F33" s="8">
        <f t="array" ref="F33">INDEX('Лист2'!$D$2:$D$505, MATCH(A33&amp;B33, 'Лист2'!$A$2:$A$505&amp;'Лист2'!$B$2:$B$505, 0))</f>
        <v>5389</v>
      </c>
      <c r="G33" s="8">
        <f t="array" ref="G33">INDEX('Лист2'!$E$2:$E$505, MATCH(A33&amp;B33, 'Лист2'!$A$2:$A$505&amp;'Лист2'!$B$2:$B$505, 0))</f>
        <v>5024</v>
      </c>
      <c r="H33" s="9">
        <f t="shared" si="1"/>
        <v>2710.451613</v>
      </c>
      <c r="I33" s="9">
        <f t="shared" si="2"/>
        <v>21</v>
      </c>
      <c r="J33" s="10">
        <f t="shared" si="3"/>
        <v>0.1373441684</v>
      </c>
    </row>
    <row r="34" ht="14.25" customHeight="1">
      <c r="A34" s="6">
        <v>43968.0</v>
      </c>
      <c r="B34" s="7" t="s">
        <v>12</v>
      </c>
      <c r="C34" s="7">
        <v>78057.0</v>
      </c>
      <c r="D34" s="7">
        <v>6774946.5</v>
      </c>
      <c r="E34" s="8">
        <f t="array" ref="E34">INDEX('Лист2'!$C$2:$C$505, MATCH(A34&amp;B34, 'Лист2'!$A$2:$A$505&amp;'Лист2'!$B$2:$B$505, 0))</f>
        <v>31</v>
      </c>
      <c r="F34" s="8">
        <f t="array" ref="F34">INDEX('Лист2'!$D$2:$D$505, MATCH(A34&amp;B34, 'Лист2'!$A$2:$A$505&amp;'Лист2'!$B$2:$B$505, 0))</f>
        <v>5206</v>
      </c>
      <c r="G34" s="8">
        <f t="array" ref="G34">INDEX('Лист2'!$E$2:$E$505, MATCH(A34&amp;B34, 'Лист2'!$A$2:$A$505&amp;'Лист2'!$B$2:$B$505, 0))</f>
        <v>4843</v>
      </c>
      <c r="H34" s="9">
        <f t="shared" si="1"/>
        <v>2517.967742</v>
      </c>
      <c r="I34" s="9">
        <f t="shared" si="2"/>
        <v>20</v>
      </c>
      <c r="J34" s="10">
        <f t="shared" si="3"/>
        <v>0.1365267246</v>
      </c>
    </row>
    <row r="35" ht="14.25" customHeight="1">
      <c r="A35" s="11">
        <v>43960.0</v>
      </c>
      <c r="B35" s="12" t="s">
        <v>12</v>
      </c>
      <c r="C35" s="12">
        <v>69720.0</v>
      </c>
      <c r="D35" s="12">
        <v>6264933.0</v>
      </c>
      <c r="E35" s="8">
        <f t="array" ref="E35">INDEX('Лист2'!$C$2:$C$505, MATCH(A35&amp;B35, 'Лист2'!$A$2:$A$505&amp;'Лист2'!$B$2:$B$505, 0))</f>
        <v>31</v>
      </c>
      <c r="F35" s="8">
        <f t="array" ref="F35">INDEX('Лист2'!$D$2:$D$505, MATCH(A35&amp;B35, 'Лист2'!$A$2:$A$505&amp;'Лист2'!$B$2:$B$505, 0))</f>
        <v>4556</v>
      </c>
      <c r="G35" s="8">
        <f t="array" ref="G35">INDEX('Лист2'!$E$2:$E$505, MATCH(A35&amp;B35, 'Лист2'!$A$2:$A$505&amp;'Лист2'!$B$2:$B$505, 0))</f>
        <v>4220</v>
      </c>
      <c r="H35" s="9">
        <f t="shared" si="1"/>
        <v>2249.032258</v>
      </c>
      <c r="I35" s="9">
        <f t="shared" si="2"/>
        <v>19</v>
      </c>
      <c r="J35" s="10">
        <f t="shared" si="3"/>
        <v>0.1262490829</v>
      </c>
    </row>
    <row r="36" ht="14.25" customHeight="1">
      <c r="A36" s="6">
        <v>43955.0</v>
      </c>
      <c r="B36" s="7" t="s">
        <v>12</v>
      </c>
      <c r="C36" s="7">
        <v>72928.5</v>
      </c>
      <c r="D36" s="7">
        <v>6642249.0</v>
      </c>
      <c r="E36" s="8">
        <f t="array" ref="E36">INDEX('Лист2'!$C$2:$C$505, MATCH(A36&amp;B36, 'Лист2'!$A$2:$A$505&amp;'Лист2'!$B$2:$B$505, 0))</f>
        <v>31</v>
      </c>
      <c r="F36" s="8">
        <f t="array" ref="F36">INDEX('Лист2'!$D$2:$D$505, MATCH(A36&amp;B36, 'Лист2'!$A$2:$A$505&amp;'Лист2'!$B$2:$B$505, 0))</f>
        <v>4968</v>
      </c>
      <c r="G36" s="8">
        <f t="array" ref="G36">INDEX('Лист2'!$E$2:$E$505, MATCH(A36&amp;B36, 'Лист2'!$A$2:$A$505&amp;'Лист2'!$B$2:$B$505, 0))</f>
        <v>4596</v>
      </c>
      <c r="H36" s="9">
        <f t="shared" si="1"/>
        <v>2352.532258</v>
      </c>
      <c r="I36" s="9">
        <f t="shared" si="2"/>
        <v>19</v>
      </c>
      <c r="J36" s="10">
        <f t="shared" si="3"/>
        <v>0.1338526437</v>
      </c>
    </row>
    <row r="37" ht="14.25" customHeight="1">
      <c r="A37" s="11">
        <v>43950.0</v>
      </c>
      <c r="B37" s="12" t="s">
        <v>12</v>
      </c>
      <c r="C37" s="12">
        <v>79527.0</v>
      </c>
      <c r="D37" s="12">
        <v>7180498.5</v>
      </c>
      <c r="E37" s="8">
        <f t="array" ref="E37">INDEX('Лист2'!$C$2:$C$505, MATCH(A37&amp;B37, 'Лист2'!$A$2:$A$505&amp;'Лист2'!$B$2:$B$505, 0))</f>
        <v>31</v>
      </c>
      <c r="F37" s="8">
        <f t="array" ref="F37">INDEX('Лист2'!$D$2:$D$505, MATCH(A37&amp;B37, 'Лист2'!$A$2:$A$505&amp;'Лист2'!$B$2:$B$505, 0))</f>
        <v>5378</v>
      </c>
      <c r="G37" s="8">
        <f t="array" ref="G37">INDEX('Лист2'!$E$2:$E$505, MATCH(A37&amp;B37, 'Лист2'!$A$2:$A$505&amp;'Лист2'!$B$2:$B$505, 0))</f>
        <v>4985</v>
      </c>
      <c r="H37" s="9">
        <f t="shared" si="1"/>
        <v>2565.387097</v>
      </c>
      <c r="I37" s="9">
        <f t="shared" si="2"/>
        <v>18</v>
      </c>
      <c r="J37" s="10">
        <f t="shared" si="3"/>
        <v>0.1446992889</v>
      </c>
    </row>
    <row r="38" ht="14.25" customHeight="1">
      <c r="A38" s="6">
        <v>43953.0</v>
      </c>
      <c r="B38" s="7" t="s">
        <v>12</v>
      </c>
      <c r="C38" s="7">
        <v>60463.5</v>
      </c>
      <c r="D38" s="7">
        <v>5554192.5</v>
      </c>
      <c r="E38" s="8">
        <f t="array" ref="E38">INDEX('Лист2'!$C$2:$C$505, MATCH(A38&amp;B38, 'Лист2'!$A$2:$A$505&amp;'Лист2'!$B$2:$B$505, 0))</f>
        <v>31</v>
      </c>
      <c r="F38" s="8">
        <f t="array" ref="F38">INDEX('Лист2'!$D$2:$D$505, MATCH(A38&amp;B38, 'Лист2'!$A$2:$A$505&amp;'Лист2'!$B$2:$B$505, 0))</f>
        <v>4157</v>
      </c>
      <c r="G38" s="8">
        <f t="array" ref="G38">INDEX('Лист2'!$E$2:$E$505, MATCH(A38&amp;B38, 'Лист2'!$A$2:$A$505&amp;'Лист2'!$B$2:$B$505, 0))</f>
        <v>3823</v>
      </c>
      <c r="H38" s="9">
        <f t="shared" si="1"/>
        <v>1950.435484</v>
      </c>
      <c r="I38" s="9">
        <f t="shared" si="2"/>
        <v>18</v>
      </c>
      <c r="J38" s="10">
        <f t="shared" si="3"/>
        <v>0.1119264498</v>
      </c>
    </row>
    <row r="39" ht="14.25" customHeight="1">
      <c r="A39" s="11">
        <v>43977.0</v>
      </c>
      <c r="B39" s="12" t="s">
        <v>12</v>
      </c>
      <c r="C39" s="12">
        <v>79975.5</v>
      </c>
      <c r="D39" s="12">
        <v>6676459.5</v>
      </c>
      <c r="E39" s="8">
        <f t="array" ref="E39">INDEX('Лист2'!$C$2:$C$505, MATCH(A39&amp;B39, 'Лист2'!$A$2:$A$505&amp;'Лист2'!$B$2:$B$505, 0))</f>
        <v>31</v>
      </c>
      <c r="F39" s="8">
        <f t="array" ref="F39">INDEX('Лист2'!$D$2:$D$505, MATCH(A39&amp;B39, 'Лист2'!$A$2:$A$505&amp;'Лист2'!$B$2:$B$505, 0))</f>
        <v>5493</v>
      </c>
      <c r="G39" s="8">
        <f t="array" ref="G39">INDEX('Лист2'!$E$2:$E$505, MATCH(A39&amp;B39, 'Лист2'!$A$2:$A$505&amp;'Лист2'!$B$2:$B$505, 0))</f>
        <v>5119</v>
      </c>
      <c r="H39" s="9">
        <f t="shared" si="1"/>
        <v>2579.854839</v>
      </c>
      <c r="I39" s="9">
        <f t="shared" si="2"/>
        <v>22</v>
      </c>
      <c r="J39" s="10">
        <f t="shared" si="3"/>
        <v>0.1345420436</v>
      </c>
    </row>
    <row r="40" ht="14.25" customHeight="1">
      <c r="A40" s="6">
        <v>43952.0</v>
      </c>
      <c r="B40" s="7" t="s">
        <v>12</v>
      </c>
      <c r="C40" s="7">
        <v>97534.5</v>
      </c>
      <c r="D40" s="7">
        <v>8893024.5</v>
      </c>
      <c r="E40" s="8">
        <f t="array" ref="E40">INDEX('Лист2'!$C$2:$C$505, MATCH(A40&amp;B40, 'Лист2'!$A$2:$A$505&amp;'Лист2'!$B$2:$B$505, 0))</f>
        <v>31</v>
      </c>
      <c r="F40" s="8">
        <f t="array" ref="F40">INDEX('Лист2'!$D$2:$D$505, MATCH(A40&amp;B40, 'Лист2'!$A$2:$A$505&amp;'Лист2'!$B$2:$B$505, 0))</f>
        <v>6118</v>
      </c>
      <c r="G40" s="8">
        <f t="array" ref="G40">INDEX('Лист2'!$E$2:$E$505, MATCH(A40&amp;B40, 'Лист2'!$A$2:$A$505&amp;'Лист2'!$B$2:$B$505, 0))</f>
        <v>5564</v>
      </c>
      <c r="H40" s="9">
        <f t="shared" si="1"/>
        <v>3146.274194</v>
      </c>
      <c r="I40" s="9">
        <f t="shared" si="2"/>
        <v>18</v>
      </c>
      <c r="J40" s="10">
        <f t="shared" si="3"/>
        <v>0.179209608</v>
      </c>
    </row>
    <row r="41" ht="14.25" customHeight="1">
      <c r="A41" s="11">
        <v>43963.0</v>
      </c>
      <c r="B41" s="12" t="s">
        <v>12</v>
      </c>
      <c r="C41" s="12">
        <v>71520.0</v>
      </c>
      <c r="D41" s="12">
        <v>6398361.0</v>
      </c>
      <c r="E41" s="8">
        <f t="array" ref="E41">INDEX('Лист2'!$C$2:$C$505, MATCH(A41&amp;B41, 'Лист2'!$A$2:$A$505&amp;'Лист2'!$B$2:$B$505, 0))</f>
        <v>31</v>
      </c>
      <c r="F41" s="8">
        <f t="array" ref="F41">INDEX('Лист2'!$D$2:$D$505, MATCH(A41&amp;B41, 'Лист2'!$A$2:$A$505&amp;'Лист2'!$B$2:$B$505, 0))</f>
        <v>4800</v>
      </c>
      <c r="G41" s="8">
        <f t="array" ref="G41">INDEX('Лист2'!$E$2:$E$505, MATCH(A41&amp;B41, 'Лист2'!$A$2:$A$505&amp;'Лист2'!$B$2:$B$505, 0))</f>
        <v>4470</v>
      </c>
      <c r="H41" s="9">
        <f t="shared" si="1"/>
        <v>2307.096774</v>
      </c>
      <c r="I41" s="9">
        <f t="shared" si="2"/>
        <v>20</v>
      </c>
      <c r="J41" s="10">
        <f t="shared" si="3"/>
        <v>0.1289378846</v>
      </c>
    </row>
    <row r="42" ht="14.25" customHeight="1">
      <c r="A42" s="6">
        <v>43972.0</v>
      </c>
      <c r="B42" s="7" t="s">
        <v>12</v>
      </c>
      <c r="C42" s="7">
        <v>79485.0</v>
      </c>
      <c r="D42" s="7">
        <v>6633847.5</v>
      </c>
      <c r="E42" s="8">
        <f t="array" ref="E42">INDEX('Лист2'!$C$2:$C$505, MATCH(A42&amp;B42, 'Лист2'!$A$2:$A$505&amp;'Лист2'!$B$2:$B$505, 0))</f>
        <v>31</v>
      </c>
      <c r="F42" s="8">
        <f t="array" ref="F42">INDEX('Лист2'!$D$2:$D$505, MATCH(A42&amp;B42, 'Лист2'!$A$2:$A$505&amp;'Лист2'!$B$2:$B$505, 0))</f>
        <v>5207</v>
      </c>
      <c r="G42" s="8">
        <f t="array" ref="G42">INDEX('Лист2'!$E$2:$E$505, MATCH(A42&amp;B42, 'Лист2'!$A$2:$A$505&amp;'Лист2'!$B$2:$B$505, 0))</f>
        <v>4868</v>
      </c>
      <c r="H42" s="9">
        <f t="shared" si="1"/>
        <v>2564.032258</v>
      </c>
      <c r="I42" s="9">
        <f t="shared" si="2"/>
        <v>21</v>
      </c>
      <c r="J42" s="10">
        <f t="shared" si="3"/>
        <v>0.1336833391</v>
      </c>
    </row>
    <row r="43" ht="14.25" customHeight="1">
      <c r="A43" s="11">
        <v>43971.0</v>
      </c>
      <c r="B43" s="12" t="s">
        <v>12</v>
      </c>
      <c r="C43" s="12">
        <v>93313.5</v>
      </c>
      <c r="D43" s="12">
        <v>7247575.5</v>
      </c>
      <c r="E43" s="8">
        <f t="array" ref="E43">INDEX('Лист2'!$C$2:$C$505, MATCH(A43&amp;B43, 'Лист2'!$A$2:$A$505&amp;'Лист2'!$B$2:$B$505, 0))</f>
        <v>31</v>
      </c>
      <c r="F43" s="8">
        <f t="array" ref="F43">INDEX('Лист2'!$D$2:$D$505, MATCH(A43&amp;B43, 'Лист2'!$A$2:$A$505&amp;'Лист2'!$B$2:$B$505, 0))</f>
        <v>5698</v>
      </c>
      <c r="G43" s="8">
        <f t="array" ref="G43">INDEX('Лист2'!$E$2:$E$505, MATCH(A43&amp;B43, 'Лист2'!$A$2:$A$505&amp;'Лист2'!$B$2:$B$505, 0))</f>
        <v>5258</v>
      </c>
      <c r="H43" s="9">
        <f t="shared" si="1"/>
        <v>3010.112903</v>
      </c>
      <c r="I43" s="9">
        <f t="shared" si="2"/>
        <v>21</v>
      </c>
      <c r="J43" s="10">
        <f t="shared" si="3"/>
        <v>0.1460510048</v>
      </c>
    </row>
    <row r="44" ht="14.25" customHeight="1">
      <c r="A44" s="6">
        <v>43956.0</v>
      </c>
      <c r="B44" s="7" t="s">
        <v>12</v>
      </c>
      <c r="C44" s="7">
        <v>76585.5</v>
      </c>
      <c r="D44" s="7">
        <v>6921316.5</v>
      </c>
      <c r="E44" s="8">
        <f t="array" ref="E44">INDEX('Лист2'!$C$2:$C$505, MATCH(A44&amp;B44, 'Лист2'!$A$2:$A$505&amp;'Лист2'!$B$2:$B$505, 0))</f>
        <v>31</v>
      </c>
      <c r="F44" s="8">
        <f t="array" ref="F44">INDEX('Лист2'!$D$2:$D$505, MATCH(A44&amp;B44, 'Лист2'!$A$2:$A$505&amp;'Лист2'!$B$2:$B$505, 0))</f>
        <v>5188</v>
      </c>
      <c r="G44" s="8">
        <f t="array" ref="G44">INDEX('Лист2'!$E$2:$E$505, MATCH(A44&amp;B44, 'Лист2'!$A$2:$A$505&amp;'Лист2'!$B$2:$B$505, 0))</f>
        <v>4800</v>
      </c>
      <c r="H44" s="9">
        <f t="shared" si="1"/>
        <v>2470.5</v>
      </c>
      <c r="I44" s="9">
        <f t="shared" si="2"/>
        <v>19</v>
      </c>
      <c r="J44" s="10">
        <f t="shared" si="3"/>
        <v>0.1394763296</v>
      </c>
    </row>
    <row r="45" ht="14.25" customHeight="1">
      <c r="A45" s="11">
        <v>43949.0</v>
      </c>
      <c r="B45" s="12" t="s">
        <v>12</v>
      </c>
      <c r="C45" s="12">
        <v>81826.5</v>
      </c>
      <c r="D45" s="12">
        <v>7163644.5</v>
      </c>
      <c r="E45" s="8">
        <f t="array" ref="E45">INDEX('Лист2'!$C$2:$C$505, MATCH(A45&amp;B45, 'Лист2'!$A$2:$A$505&amp;'Лист2'!$B$2:$B$505, 0))</f>
        <v>31</v>
      </c>
      <c r="F45" s="8">
        <f t="array" ref="F45">INDEX('Лист2'!$D$2:$D$505, MATCH(A45&amp;B45, 'Лист2'!$A$2:$A$505&amp;'Лист2'!$B$2:$B$505, 0))</f>
        <v>5465</v>
      </c>
      <c r="G45" s="8">
        <f t="array" ref="G45">INDEX('Лист2'!$E$2:$E$505, MATCH(A45&amp;B45, 'Лист2'!$A$2:$A$505&amp;'Лист2'!$B$2:$B$505, 0))</f>
        <v>5096</v>
      </c>
      <c r="H45" s="9">
        <f t="shared" si="1"/>
        <v>2639.564516</v>
      </c>
      <c r="I45" s="9">
        <f t="shared" si="2"/>
        <v>18</v>
      </c>
      <c r="J45" s="10">
        <f t="shared" si="3"/>
        <v>0.1443596521</v>
      </c>
    </row>
    <row r="46" ht="14.25" customHeight="1">
      <c r="A46" s="6">
        <v>43964.0</v>
      </c>
      <c r="B46" s="7" t="s">
        <v>12</v>
      </c>
      <c r="C46" s="7">
        <v>78846.0</v>
      </c>
      <c r="D46" s="7">
        <v>6993952.5</v>
      </c>
      <c r="E46" s="8">
        <f t="array" ref="E46">INDEX('Лист2'!$C$2:$C$505, MATCH(A46&amp;B46, 'Лист2'!$A$2:$A$505&amp;'Лист2'!$B$2:$B$505, 0))</f>
        <v>31</v>
      </c>
      <c r="F46" s="8">
        <f t="array" ref="F46">INDEX('Лист2'!$D$2:$D$505, MATCH(A46&amp;B46, 'Лист2'!$A$2:$A$505&amp;'Лист2'!$B$2:$B$505, 0))</f>
        <v>5251</v>
      </c>
      <c r="G46" s="8">
        <f t="array" ref="G46">INDEX('Лист2'!$E$2:$E$505, MATCH(A46&amp;B46, 'Лист2'!$A$2:$A$505&amp;'Лист2'!$B$2:$B$505, 0))</f>
        <v>4853</v>
      </c>
      <c r="H46" s="9">
        <f t="shared" si="1"/>
        <v>2543.419355</v>
      </c>
      <c r="I46" s="9">
        <f t="shared" si="2"/>
        <v>20</v>
      </c>
      <c r="J46" s="10">
        <f t="shared" si="3"/>
        <v>0.1409400689</v>
      </c>
    </row>
    <row r="47" ht="14.25" customHeight="1">
      <c r="A47" s="11">
        <v>43954.0</v>
      </c>
      <c r="B47" s="12" t="s">
        <v>12</v>
      </c>
      <c r="C47" s="12">
        <v>77263.5</v>
      </c>
      <c r="D47" s="12">
        <v>7013670.0</v>
      </c>
      <c r="E47" s="8">
        <f t="array" ref="E47">INDEX('Лист2'!$C$2:$C$505, MATCH(A47&amp;B47, 'Лист2'!$A$2:$A$505&amp;'Лист2'!$B$2:$B$505, 0))</f>
        <v>31</v>
      </c>
      <c r="F47" s="8">
        <f t="array" ref="F47">INDEX('Лист2'!$D$2:$D$505, MATCH(A47&amp;B47, 'Лист2'!$A$2:$A$505&amp;'Лист2'!$B$2:$B$505, 0))</f>
        <v>5155</v>
      </c>
      <c r="G47" s="8">
        <f t="array" ref="G47">INDEX('Лист2'!$E$2:$E$505, MATCH(A47&amp;B47, 'Лист2'!$A$2:$A$505&amp;'Лист2'!$B$2:$B$505, 0))</f>
        <v>4762</v>
      </c>
      <c r="H47" s="9">
        <f t="shared" si="1"/>
        <v>2492.370968</v>
      </c>
      <c r="I47" s="9">
        <f t="shared" si="2"/>
        <v>18</v>
      </c>
      <c r="J47" s="10">
        <f t="shared" si="3"/>
        <v>0.1413374102</v>
      </c>
    </row>
    <row r="48" ht="14.25" customHeight="1">
      <c r="A48" s="6">
        <v>43957.0</v>
      </c>
      <c r="B48" s="7" t="s">
        <v>12</v>
      </c>
      <c r="C48" s="7">
        <v>68994.0</v>
      </c>
      <c r="D48" s="7">
        <v>6168657.0</v>
      </c>
      <c r="E48" s="8">
        <f t="array" ref="E48">INDEX('Лист2'!$C$2:$C$505, MATCH(A48&amp;B48, 'Лист2'!$A$2:$A$505&amp;'Лист2'!$B$2:$B$505, 0))</f>
        <v>31</v>
      </c>
      <c r="F48" s="8">
        <f t="array" ref="F48">INDEX('Лист2'!$D$2:$D$505, MATCH(A48&amp;B48, 'Лист2'!$A$2:$A$505&amp;'Лист2'!$B$2:$B$505, 0))</f>
        <v>4709</v>
      </c>
      <c r="G48" s="8">
        <f t="array" ref="G48">INDEX('Лист2'!$E$2:$E$505, MATCH(A48&amp;B48, 'Лист2'!$A$2:$A$505&amp;'Лист2'!$B$2:$B$505, 0))</f>
        <v>4348</v>
      </c>
      <c r="H48" s="9">
        <f t="shared" si="1"/>
        <v>2225.612903</v>
      </c>
      <c r="I48" s="9">
        <f t="shared" si="2"/>
        <v>19</v>
      </c>
      <c r="J48" s="10">
        <f t="shared" si="3"/>
        <v>0.1243089573</v>
      </c>
    </row>
    <row r="49" ht="14.25" customHeight="1">
      <c r="A49" s="11">
        <v>43974.0</v>
      </c>
      <c r="B49" s="12" t="s">
        <v>12</v>
      </c>
      <c r="C49" s="12">
        <v>102889.5</v>
      </c>
      <c r="D49" s="12">
        <v>8089143.0</v>
      </c>
      <c r="E49" s="8">
        <f t="array" ref="E49">INDEX('Лист2'!$C$2:$C$505, MATCH(A49&amp;B49, 'Лист2'!$A$2:$A$505&amp;'Лист2'!$B$2:$B$505, 0))</f>
        <v>31</v>
      </c>
      <c r="F49" s="8">
        <f t="array" ref="F49">INDEX('Лист2'!$D$2:$D$505, MATCH(A49&amp;B49, 'Лист2'!$A$2:$A$505&amp;'Лист2'!$B$2:$B$505, 0))</f>
        <v>6276</v>
      </c>
      <c r="G49" s="8">
        <f t="array" ref="G49">INDEX('Лист2'!$E$2:$E$505, MATCH(A49&amp;B49, 'Лист2'!$A$2:$A$505&amp;'Лист2'!$B$2:$B$505, 0))</f>
        <v>5801</v>
      </c>
      <c r="H49" s="9">
        <f t="shared" si="1"/>
        <v>3319.016129</v>
      </c>
      <c r="I49" s="9">
        <f t="shared" si="2"/>
        <v>21</v>
      </c>
      <c r="J49" s="10">
        <f t="shared" si="3"/>
        <v>0.163010025</v>
      </c>
    </row>
    <row r="50" ht="14.25" customHeight="1">
      <c r="A50" s="6">
        <v>43976.0</v>
      </c>
      <c r="B50" s="7" t="s">
        <v>12</v>
      </c>
      <c r="C50" s="7">
        <v>76999.5</v>
      </c>
      <c r="D50" s="7">
        <v>6645603.0</v>
      </c>
      <c r="E50" s="8">
        <f t="array" ref="E50">INDEX('Лист2'!$C$2:$C$505, MATCH(A50&amp;B50, 'Лист2'!$A$2:$A$505&amp;'Лист2'!$B$2:$B$505, 0))</f>
        <v>31</v>
      </c>
      <c r="F50" s="8">
        <f t="array" ref="F50">INDEX('Лист2'!$D$2:$D$505, MATCH(A50&amp;B50, 'Лист2'!$A$2:$A$505&amp;'Лист2'!$B$2:$B$505, 0))</f>
        <v>5210</v>
      </c>
      <c r="G50" s="8">
        <f t="array" ref="G50">INDEX('Лист2'!$E$2:$E$505, MATCH(A50&amp;B50, 'Лист2'!$A$2:$A$505&amp;'Лист2'!$B$2:$B$505, 0))</f>
        <v>4841</v>
      </c>
      <c r="H50" s="9">
        <f t="shared" si="1"/>
        <v>2483.854839</v>
      </c>
      <c r="I50" s="9">
        <f t="shared" si="2"/>
        <v>22</v>
      </c>
      <c r="J50" s="10">
        <f t="shared" si="3"/>
        <v>0.1339202325</v>
      </c>
    </row>
    <row r="51" ht="14.25" customHeight="1">
      <c r="A51" s="11">
        <v>43951.0</v>
      </c>
      <c r="B51" s="12" t="s">
        <v>12</v>
      </c>
      <c r="C51" s="12">
        <v>77565.0</v>
      </c>
      <c r="D51" s="12">
        <v>7023727.5</v>
      </c>
      <c r="E51" s="8">
        <f t="array" ref="E51">INDEX('Лист2'!$C$2:$C$505, MATCH(A51&amp;B51, 'Лист2'!$A$2:$A$505&amp;'Лист2'!$B$2:$B$505, 0))</f>
        <v>31</v>
      </c>
      <c r="F51" s="8">
        <f t="array" ref="F51">INDEX('Лист2'!$D$2:$D$505, MATCH(A51&amp;B51, 'Лист2'!$A$2:$A$505&amp;'Лист2'!$B$2:$B$505, 0))</f>
        <v>5120</v>
      </c>
      <c r="G51" s="8">
        <f t="array" ref="G51">INDEX('Лист2'!$E$2:$E$505, MATCH(A51&amp;B51, 'Лист2'!$A$2:$A$505&amp;'Лист2'!$B$2:$B$505, 0))</f>
        <v>4737</v>
      </c>
      <c r="H51" s="9">
        <f t="shared" si="1"/>
        <v>2502.096774</v>
      </c>
      <c r="I51" s="9">
        <f t="shared" si="2"/>
        <v>18</v>
      </c>
      <c r="J51" s="10">
        <f t="shared" si="3"/>
        <v>0.1415400859</v>
      </c>
    </row>
    <row r="52" ht="14.25" customHeight="1">
      <c r="A52" s="6">
        <v>43961.0</v>
      </c>
      <c r="B52" s="7" t="s">
        <v>12</v>
      </c>
      <c r="C52" s="7">
        <v>84132.0</v>
      </c>
      <c r="D52" s="7">
        <v>7483194.0</v>
      </c>
      <c r="E52" s="8">
        <f t="array" ref="E52">INDEX('Лист2'!$C$2:$C$505, MATCH(A52&amp;B52, 'Лист2'!$A$2:$A$505&amp;'Лист2'!$B$2:$B$505, 0))</f>
        <v>31</v>
      </c>
      <c r="F52" s="8">
        <f t="array" ref="F52">INDEX('Лист2'!$D$2:$D$505, MATCH(A52&amp;B52, 'Лист2'!$A$2:$A$505&amp;'Лист2'!$B$2:$B$505, 0))</f>
        <v>5495</v>
      </c>
      <c r="G52" s="8">
        <f t="array" ref="G52">INDEX('Лист2'!$E$2:$E$505, MATCH(A52&amp;B52, 'Лист2'!$A$2:$A$505&amp;'Лист2'!$B$2:$B$505, 0))</f>
        <v>5093</v>
      </c>
      <c r="H52" s="9">
        <f t="shared" si="1"/>
        <v>2713.935484</v>
      </c>
      <c r="I52" s="9">
        <f t="shared" si="2"/>
        <v>19</v>
      </c>
      <c r="J52" s="10">
        <f t="shared" si="3"/>
        <v>0.1507991194</v>
      </c>
    </row>
    <row r="53" ht="14.25" customHeight="1">
      <c r="A53" s="11">
        <v>43959.0</v>
      </c>
      <c r="B53" s="12" t="s">
        <v>12</v>
      </c>
      <c r="C53" s="12">
        <v>69544.5</v>
      </c>
      <c r="D53" s="12">
        <v>6293776.5</v>
      </c>
      <c r="E53" s="8">
        <f t="array" ref="E53">INDEX('Лист2'!$C$2:$C$505, MATCH(A53&amp;B53, 'Лист2'!$A$2:$A$505&amp;'Лист2'!$B$2:$B$505, 0))</f>
        <v>31</v>
      </c>
      <c r="F53" s="8">
        <f t="array" ref="F53">INDEX('Лист2'!$D$2:$D$505, MATCH(A53&amp;B53, 'Лист2'!$A$2:$A$505&amp;'Лист2'!$B$2:$B$505, 0))</f>
        <v>4635</v>
      </c>
      <c r="G53" s="8">
        <f t="array" ref="G53">INDEX('Лист2'!$E$2:$E$505, MATCH(A53&amp;B53, 'Лист2'!$A$2:$A$505&amp;'Лист2'!$B$2:$B$505, 0))</f>
        <v>4266</v>
      </c>
      <c r="H53" s="9">
        <f t="shared" si="1"/>
        <v>2243.370968</v>
      </c>
      <c r="I53" s="9">
        <f t="shared" si="2"/>
        <v>19</v>
      </c>
      <c r="J53" s="10">
        <f t="shared" si="3"/>
        <v>0.1268303286</v>
      </c>
    </row>
    <row r="54" ht="14.25" customHeight="1">
      <c r="A54" s="6">
        <v>43958.0</v>
      </c>
      <c r="B54" s="7" t="s">
        <v>12</v>
      </c>
      <c r="C54" s="7">
        <v>73204.5</v>
      </c>
      <c r="D54" s="7">
        <v>6591883.5</v>
      </c>
      <c r="E54" s="8">
        <f t="array" ref="E54">INDEX('Лист2'!$C$2:$C$505, MATCH(A54&amp;B54, 'Лист2'!$A$2:$A$505&amp;'Лист2'!$B$2:$B$505, 0))</f>
        <v>31</v>
      </c>
      <c r="F54" s="8">
        <f t="array" ref="F54">INDEX('Лист2'!$D$2:$D$505, MATCH(A54&amp;B54, 'Лист2'!$A$2:$A$505&amp;'Лист2'!$B$2:$B$505, 0))</f>
        <v>4903</v>
      </c>
      <c r="G54" s="8">
        <f t="array" ref="G54">INDEX('Лист2'!$E$2:$E$505, MATCH(A54&amp;B54, 'Лист2'!$A$2:$A$505&amp;'Лист2'!$B$2:$B$505, 0))</f>
        <v>4527</v>
      </c>
      <c r="H54" s="9">
        <f t="shared" si="1"/>
        <v>2361.435484</v>
      </c>
      <c r="I54" s="9">
        <f t="shared" si="2"/>
        <v>19</v>
      </c>
      <c r="J54" s="10">
        <f t="shared" si="3"/>
        <v>0.132837693</v>
      </c>
    </row>
    <row r="55" ht="14.25" customHeight="1">
      <c r="A55" s="11">
        <v>43975.0</v>
      </c>
      <c r="B55" s="12" t="s">
        <v>12</v>
      </c>
      <c r="C55" s="12">
        <v>76663.5</v>
      </c>
      <c r="D55" s="12">
        <v>6451032.0</v>
      </c>
      <c r="E55" s="8">
        <f t="array" ref="E55">INDEX('Лист2'!$C$2:$C$505, MATCH(A55&amp;B55, 'Лист2'!$A$2:$A$505&amp;'Лист2'!$B$2:$B$505, 0))</f>
        <v>31</v>
      </c>
      <c r="F55" s="8">
        <f t="array" ref="F55">INDEX('Лист2'!$D$2:$D$505, MATCH(A55&amp;B55, 'Лист2'!$A$2:$A$505&amp;'Лист2'!$B$2:$B$505, 0))</f>
        <v>5035</v>
      </c>
      <c r="G55" s="8">
        <f t="array" ref="G55">INDEX('Лист2'!$E$2:$E$505, MATCH(A55&amp;B55, 'Лист2'!$A$2:$A$505&amp;'Лист2'!$B$2:$B$505, 0))</f>
        <v>4683</v>
      </c>
      <c r="H55" s="9">
        <f t="shared" si="1"/>
        <v>2473.016129</v>
      </c>
      <c r="I55" s="9">
        <f t="shared" si="2"/>
        <v>21</v>
      </c>
      <c r="J55" s="10">
        <f t="shared" si="3"/>
        <v>0.129999295</v>
      </c>
    </row>
    <row r="56" ht="14.25" customHeight="1">
      <c r="A56" s="6">
        <v>43967.0</v>
      </c>
      <c r="B56" s="7" t="s">
        <v>13</v>
      </c>
      <c r="C56" s="7">
        <v>14265.0</v>
      </c>
      <c r="D56" s="7">
        <v>1130506.5</v>
      </c>
      <c r="E56" s="8">
        <f t="array" ref="E56">INDEX('Лист2'!$C$2:$C$505, MATCH(A56&amp;B56, 'Лист2'!$A$2:$A$505&amp;'Лист2'!$B$2:$B$505, 0))</f>
        <v>10</v>
      </c>
      <c r="F56" s="8">
        <f t="array" ref="F56">INDEX('Лист2'!$D$2:$D$505, MATCH(A56&amp;B56, 'Лист2'!$A$2:$A$505&amp;'Лист2'!$B$2:$B$505, 0))</f>
        <v>760</v>
      </c>
      <c r="G56" s="8">
        <f t="array" ref="G56">INDEX('Лист2'!$E$2:$E$505, MATCH(A56&amp;B56, 'Лист2'!$A$2:$A$505&amp;'Лист2'!$B$2:$B$505, 0))</f>
        <v>672</v>
      </c>
      <c r="H56" s="9">
        <f t="shared" si="1"/>
        <v>1426.5</v>
      </c>
      <c r="I56" s="9">
        <f t="shared" si="2"/>
        <v>20</v>
      </c>
      <c r="J56" s="10">
        <f t="shared" si="3"/>
        <v>0.02278163371</v>
      </c>
    </row>
    <row r="57" ht="14.25" customHeight="1">
      <c r="A57" s="11">
        <v>43970.0</v>
      </c>
      <c r="B57" s="12" t="s">
        <v>13</v>
      </c>
      <c r="C57" s="12">
        <v>11526.0</v>
      </c>
      <c r="D57" s="12">
        <v>938764.5</v>
      </c>
      <c r="E57" s="8">
        <f t="array" ref="E57">INDEX('Лист2'!$C$2:$C$505, MATCH(A57&amp;B57, 'Лист2'!$A$2:$A$505&amp;'Лист2'!$B$2:$B$505, 0))</f>
        <v>10</v>
      </c>
      <c r="F57" s="8">
        <f t="array" ref="F57">INDEX('Лист2'!$D$2:$D$505, MATCH(A57&amp;B57, 'Лист2'!$A$2:$A$505&amp;'Лист2'!$B$2:$B$505, 0))</f>
        <v>649</v>
      </c>
      <c r="G57" s="8">
        <f t="array" ref="G57">INDEX('Лист2'!$E$2:$E$505, MATCH(A57&amp;B57, 'Лист2'!$A$2:$A$505&amp;'Лист2'!$B$2:$B$505, 0))</f>
        <v>568</v>
      </c>
      <c r="H57" s="9">
        <f t="shared" si="1"/>
        <v>1152.6</v>
      </c>
      <c r="I57" s="9">
        <f t="shared" si="2"/>
        <v>21</v>
      </c>
      <c r="J57" s="10">
        <f t="shared" si="3"/>
        <v>0.01891770545</v>
      </c>
    </row>
    <row r="58" ht="14.25" customHeight="1">
      <c r="A58" s="6">
        <v>43968.0</v>
      </c>
      <c r="B58" s="7" t="s">
        <v>13</v>
      </c>
      <c r="C58" s="7">
        <v>10402.5</v>
      </c>
      <c r="D58" s="7">
        <v>843727.5</v>
      </c>
      <c r="E58" s="8">
        <f t="array" ref="E58">INDEX('Лист2'!$C$2:$C$505, MATCH(A58&amp;B58, 'Лист2'!$A$2:$A$505&amp;'Лист2'!$B$2:$B$505, 0))</f>
        <v>10</v>
      </c>
      <c r="F58" s="8">
        <f t="array" ref="F58">INDEX('Лист2'!$D$2:$D$505, MATCH(A58&amp;B58, 'Лист2'!$A$2:$A$505&amp;'Лист2'!$B$2:$B$505, 0))</f>
        <v>591</v>
      </c>
      <c r="G58" s="8">
        <f t="array" ref="G58">INDEX('Лист2'!$E$2:$E$505, MATCH(A58&amp;B58, 'Лист2'!$A$2:$A$505&amp;'Лист2'!$B$2:$B$505, 0))</f>
        <v>513</v>
      </c>
      <c r="H58" s="9">
        <f t="shared" si="1"/>
        <v>1040.25</v>
      </c>
      <c r="I58" s="9">
        <f t="shared" si="2"/>
        <v>20</v>
      </c>
      <c r="J58" s="10">
        <f t="shared" si="3"/>
        <v>0.01700254784</v>
      </c>
    </row>
    <row r="59" ht="14.25" customHeight="1">
      <c r="A59" s="11">
        <v>43960.0</v>
      </c>
      <c r="B59" s="12" t="s">
        <v>13</v>
      </c>
      <c r="C59" s="12">
        <v>13216.5</v>
      </c>
      <c r="D59" s="12">
        <v>1046400.0</v>
      </c>
      <c r="E59" s="8">
        <f t="array" ref="E59">INDEX('Лист2'!$C$2:$C$505, MATCH(A59&amp;B59, 'Лист2'!$A$2:$A$505&amp;'Лист2'!$B$2:$B$505, 0))</f>
        <v>10</v>
      </c>
      <c r="F59" s="8">
        <f t="array" ref="F59">INDEX('Лист2'!$D$2:$D$505, MATCH(A59&amp;B59, 'Лист2'!$A$2:$A$505&amp;'Лист2'!$B$2:$B$505, 0))</f>
        <v>644</v>
      </c>
      <c r="G59" s="8">
        <f t="array" ref="G59">INDEX('Лист2'!$E$2:$E$505, MATCH(A59&amp;B59, 'Лист2'!$A$2:$A$505&amp;'Лист2'!$B$2:$B$505, 0))</f>
        <v>559</v>
      </c>
      <c r="H59" s="9">
        <f t="shared" si="1"/>
        <v>1321.65</v>
      </c>
      <c r="I59" s="9">
        <f t="shared" si="2"/>
        <v>19</v>
      </c>
      <c r="J59" s="10">
        <f t="shared" si="3"/>
        <v>0.02108674431</v>
      </c>
    </row>
    <row r="60" ht="14.25" customHeight="1">
      <c r="A60" s="6">
        <v>43955.0</v>
      </c>
      <c r="B60" s="7" t="s">
        <v>13</v>
      </c>
      <c r="C60" s="7">
        <v>9130.5</v>
      </c>
      <c r="D60" s="7">
        <v>728890.5</v>
      </c>
      <c r="E60" s="8">
        <f t="array" ref="E60">INDEX('Лист2'!$C$2:$C$505, MATCH(A60&amp;B60, 'Лист2'!$A$2:$A$505&amp;'Лист2'!$B$2:$B$505, 0))</f>
        <v>10</v>
      </c>
      <c r="F60" s="8">
        <f t="array" ref="F60">INDEX('Лист2'!$D$2:$D$505, MATCH(A60&amp;B60, 'Лист2'!$A$2:$A$505&amp;'Лист2'!$B$2:$B$505, 0))</f>
        <v>462</v>
      </c>
      <c r="G60" s="8">
        <f t="array" ref="G60">INDEX('Лист2'!$E$2:$E$505, MATCH(A60&amp;B60, 'Лист2'!$A$2:$A$505&amp;'Лист2'!$B$2:$B$505, 0))</f>
        <v>396</v>
      </c>
      <c r="H60" s="9">
        <f t="shared" si="1"/>
        <v>913.05</v>
      </c>
      <c r="I60" s="9">
        <f t="shared" si="2"/>
        <v>19</v>
      </c>
      <c r="J60" s="10">
        <f t="shared" si="3"/>
        <v>0.01468838647</v>
      </c>
    </row>
    <row r="61" ht="14.25" customHeight="1">
      <c r="A61" s="11">
        <v>43950.0</v>
      </c>
      <c r="B61" s="12" t="s">
        <v>13</v>
      </c>
      <c r="C61" s="12">
        <v>10840.5</v>
      </c>
      <c r="D61" s="12">
        <v>797919.0</v>
      </c>
      <c r="E61" s="8">
        <f t="array" ref="E61">INDEX('Лист2'!$C$2:$C$505, MATCH(A61&amp;B61, 'Лист2'!$A$2:$A$505&amp;'Лист2'!$B$2:$B$505, 0))</f>
        <v>10</v>
      </c>
      <c r="F61" s="8">
        <f t="array" ref="F61">INDEX('Лист2'!$D$2:$D$505, MATCH(A61&amp;B61, 'Лист2'!$A$2:$A$505&amp;'Лист2'!$B$2:$B$505, 0))</f>
        <v>502</v>
      </c>
      <c r="G61" s="8">
        <f t="array" ref="G61">INDEX('Лист2'!$E$2:$E$505, MATCH(A61&amp;B61, 'Лист2'!$A$2:$A$505&amp;'Лист2'!$B$2:$B$505, 0))</f>
        <v>433</v>
      </c>
      <c r="H61" s="9">
        <f t="shared" si="1"/>
        <v>1084.05</v>
      </c>
      <c r="I61" s="9">
        <f t="shared" si="2"/>
        <v>18</v>
      </c>
      <c r="J61" s="10">
        <f t="shared" si="3"/>
        <v>0.01607942846</v>
      </c>
    </row>
    <row r="62" ht="14.25" customHeight="1">
      <c r="A62" s="6">
        <v>43953.0</v>
      </c>
      <c r="B62" s="7" t="s">
        <v>13</v>
      </c>
      <c r="C62" s="7">
        <v>7866.0</v>
      </c>
      <c r="D62" s="7">
        <v>617881.5</v>
      </c>
      <c r="E62" s="8">
        <f t="array" ref="E62">INDEX('Лист2'!$C$2:$C$505, MATCH(A62&amp;B62, 'Лист2'!$A$2:$A$505&amp;'Лист2'!$B$2:$B$505, 0))</f>
        <v>10</v>
      </c>
      <c r="F62" s="8">
        <f t="array" ref="F62">INDEX('Лист2'!$D$2:$D$505, MATCH(A62&amp;B62, 'Лист2'!$A$2:$A$505&amp;'Лист2'!$B$2:$B$505, 0))</f>
        <v>416</v>
      </c>
      <c r="G62" s="8">
        <f t="array" ref="G62">INDEX('Лист2'!$E$2:$E$505, MATCH(A62&amp;B62, 'Лист2'!$A$2:$A$505&amp;'Лист2'!$B$2:$B$505, 0))</f>
        <v>341</v>
      </c>
      <c r="H62" s="9">
        <f t="shared" si="1"/>
        <v>786.6</v>
      </c>
      <c r="I62" s="9">
        <f t="shared" si="2"/>
        <v>18</v>
      </c>
      <c r="J62" s="10">
        <f t="shared" si="3"/>
        <v>0.01245136583</v>
      </c>
    </row>
    <row r="63" ht="14.25" customHeight="1">
      <c r="A63" s="11">
        <v>43977.0</v>
      </c>
      <c r="B63" s="12" t="s">
        <v>13</v>
      </c>
      <c r="C63" s="12">
        <v>11835.0</v>
      </c>
      <c r="D63" s="12">
        <v>983109.0</v>
      </c>
      <c r="E63" s="8">
        <f t="array" ref="E63">INDEX('Лист2'!$C$2:$C$505, MATCH(A63&amp;B63, 'Лист2'!$A$2:$A$505&amp;'Лист2'!$B$2:$B$505, 0))</f>
        <v>10</v>
      </c>
      <c r="F63" s="8">
        <f t="array" ref="F63">INDEX('Лист2'!$D$2:$D$505, MATCH(A63&amp;B63, 'Лист2'!$A$2:$A$505&amp;'Лист2'!$B$2:$B$505, 0))</f>
        <v>692</v>
      </c>
      <c r="G63" s="8">
        <f t="array" ref="G63">INDEX('Лист2'!$E$2:$E$505, MATCH(A63&amp;B63, 'Лист2'!$A$2:$A$505&amp;'Лист2'!$B$2:$B$505, 0))</f>
        <v>601</v>
      </c>
      <c r="H63" s="9">
        <f t="shared" si="1"/>
        <v>1183.5</v>
      </c>
      <c r="I63" s="9">
        <f t="shared" si="2"/>
        <v>22</v>
      </c>
      <c r="J63" s="10">
        <f t="shared" si="3"/>
        <v>0.01981132274</v>
      </c>
    </row>
    <row r="64" ht="14.25" customHeight="1">
      <c r="A64" s="6">
        <v>43952.0</v>
      </c>
      <c r="B64" s="7" t="s">
        <v>13</v>
      </c>
      <c r="C64" s="7">
        <v>11619.0</v>
      </c>
      <c r="D64" s="7">
        <v>891139.5</v>
      </c>
      <c r="E64" s="8">
        <f t="array" ref="E64">INDEX('Лист2'!$C$2:$C$505, MATCH(A64&amp;B64, 'Лист2'!$A$2:$A$505&amp;'Лист2'!$B$2:$B$505, 0))</f>
        <v>10</v>
      </c>
      <c r="F64" s="8">
        <f t="array" ref="F64">INDEX('Лист2'!$D$2:$D$505, MATCH(A64&amp;B64, 'Лист2'!$A$2:$A$505&amp;'Лист2'!$B$2:$B$505, 0))</f>
        <v>554</v>
      </c>
      <c r="G64" s="8">
        <f t="array" ref="G64">INDEX('Лист2'!$E$2:$E$505, MATCH(A64&amp;B64, 'Лист2'!$A$2:$A$505&amp;'Лист2'!$B$2:$B$505, 0))</f>
        <v>472</v>
      </c>
      <c r="H64" s="9">
        <f t="shared" si="1"/>
        <v>1161.9</v>
      </c>
      <c r="I64" s="9">
        <f t="shared" si="2"/>
        <v>18</v>
      </c>
      <c r="J64" s="10">
        <f t="shared" si="3"/>
        <v>0.01795798049</v>
      </c>
    </row>
    <row r="65" ht="14.25" customHeight="1">
      <c r="A65" s="11">
        <v>43963.0</v>
      </c>
      <c r="B65" s="12" t="s">
        <v>13</v>
      </c>
      <c r="C65" s="12">
        <v>9328.5</v>
      </c>
      <c r="D65" s="12">
        <v>732964.5</v>
      </c>
      <c r="E65" s="8">
        <f t="array" ref="E65">INDEX('Лист2'!$C$2:$C$505, MATCH(A65&amp;B65, 'Лист2'!$A$2:$A$505&amp;'Лист2'!$B$2:$B$505, 0))</f>
        <v>10</v>
      </c>
      <c r="F65" s="8">
        <f t="array" ref="F65">INDEX('Лист2'!$D$2:$D$505, MATCH(A65&amp;B65, 'Лист2'!$A$2:$A$505&amp;'Лист2'!$B$2:$B$505, 0))</f>
        <v>526</v>
      </c>
      <c r="G65" s="8">
        <f t="array" ref="G65">INDEX('Лист2'!$E$2:$E$505, MATCH(A65&amp;B65, 'Лист2'!$A$2:$A$505&amp;'Лист2'!$B$2:$B$505, 0))</f>
        <v>448</v>
      </c>
      <c r="H65" s="9">
        <f t="shared" si="1"/>
        <v>932.85</v>
      </c>
      <c r="I65" s="9">
        <f t="shared" si="2"/>
        <v>20</v>
      </c>
      <c r="J65" s="10">
        <f t="shared" si="3"/>
        <v>0.01477048452</v>
      </c>
    </row>
    <row r="66" ht="14.25" customHeight="1">
      <c r="A66" s="6">
        <v>43972.0</v>
      </c>
      <c r="B66" s="7" t="s">
        <v>13</v>
      </c>
      <c r="C66" s="7">
        <v>11250.0</v>
      </c>
      <c r="D66" s="7">
        <v>935523.0</v>
      </c>
      <c r="E66" s="8">
        <f t="array" ref="E66">INDEX('Лист2'!$C$2:$C$505, MATCH(A66&amp;B66, 'Лист2'!$A$2:$A$505&amp;'Лист2'!$B$2:$B$505, 0))</f>
        <v>10</v>
      </c>
      <c r="F66" s="8">
        <f t="array" ref="F66">INDEX('Лист2'!$D$2:$D$505, MATCH(A66&amp;B66, 'Лист2'!$A$2:$A$505&amp;'Лист2'!$B$2:$B$505, 0))</f>
        <v>677</v>
      </c>
      <c r="G66" s="8">
        <f t="array" ref="G66">INDEX('Лист2'!$E$2:$E$505, MATCH(A66&amp;B66, 'Лист2'!$A$2:$A$505&amp;'Лист2'!$B$2:$B$505, 0))</f>
        <v>591</v>
      </c>
      <c r="H66" s="9">
        <f t="shared" si="1"/>
        <v>1125</v>
      </c>
      <c r="I66" s="9">
        <f t="shared" si="2"/>
        <v>21</v>
      </c>
      <c r="J66" s="10">
        <f t="shared" si="3"/>
        <v>0.0188523837</v>
      </c>
    </row>
    <row r="67" ht="14.25" customHeight="1">
      <c r="A67" s="11">
        <v>43971.0</v>
      </c>
      <c r="B67" s="12" t="s">
        <v>13</v>
      </c>
      <c r="C67" s="12">
        <v>13063.5</v>
      </c>
      <c r="D67" s="12">
        <v>1037247.0</v>
      </c>
      <c r="E67" s="8">
        <f t="array" ref="E67">INDEX('Лист2'!$C$2:$C$505, MATCH(A67&amp;B67, 'Лист2'!$A$2:$A$505&amp;'Лист2'!$B$2:$B$505, 0))</f>
        <v>10</v>
      </c>
      <c r="F67" s="8">
        <f t="array" ref="F67">INDEX('Лист2'!$D$2:$D$505, MATCH(A67&amp;B67, 'Лист2'!$A$2:$A$505&amp;'Лист2'!$B$2:$B$505, 0))</f>
        <v>745</v>
      </c>
      <c r="G67" s="8">
        <f t="array" ref="G67">INDEX('Лист2'!$E$2:$E$505, MATCH(A67&amp;B67, 'Лист2'!$A$2:$A$505&amp;'Лист2'!$B$2:$B$505, 0))</f>
        <v>654</v>
      </c>
      <c r="H67" s="9">
        <f t="shared" si="1"/>
        <v>1306.35</v>
      </c>
      <c r="I67" s="9">
        <f t="shared" si="2"/>
        <v>21</v>
      </c>
      <c r="J67" s="10">
        <f t="shared" si="3"/>
        <v>0.02090229576</v>
      </c>
    </row>
    <row r="68" ht="14.25" customHeight="1">
      <c r="A68" s="6">
        <v>43956.0</v>
      </c>
      <c r="B68" s="7" t="s">
        <v>13</v>
      </c>
      <c r="C68" s="7">
        <v>10147.5</v>
      </c>
      <c r="D68" s="7">
        <v>793320.0</v>
      </c>
      <c r="E68" s="8">
        <f t="array" ref="E68">INDEX('Лист2'!$C$2:$C$505, MATCH(A68&amp;B68, 'Лист2'!$A$2:$A$505&amp;'Лист2'!$B$2:$B$505, 0))</f>
        <v>10</v>
      </c>
      <c r="F68" s="8">
        <f t="array" ref="F68">INDEX('Лист2'!$D$2:$D$505, MATCH(A68&amp;B68, 'Лист2'!$A$2:$A$505&amp;'Лист2'!$B$2:$B$505, 0))</f>
        <v>511</v>
      </c>
      <c r="G68" s="8">
        <f t="array" ref="G68">INDEX('Лист2'!$E$2:$E$505, MATCH(A68&amp;B68, 'Лист2'!$A$2:$A$505&amp;'Лист2'!$B$2:$B$505, 0))</f>
        <v>437</v>
      </c>
      <c r="H68" s="9">
        <f t="shared" si="1"/>
        <v>1014.75</v>
      </c>
      <c r="I68" s="9">
        <f t="shared" si="2"/>
        <v>19</v>
      </c>
      <c r="J68" s="10">
        <f t="shared" si="3"/>
        <v>0.01598675076</v>
      </c>
    </row>
    <row r="69" ht="14.25" customHeight="1">
      <c r="A69" s="11">
        <v>43949.0</v>
      </c>
      <c r="B69" s="12" t="s">
        <v>13</v>
      </c>
      <c r="C69" s="12">
        <v>12331.5</v>
      </c>
      <c r="D69" s="12">
        <v>869983.5</v>
      </c>
      <c r="E69" s="8">
        <f t="array" ref="E69">INDEX('Лист2'!$C$2:$C$505, MATCH(A69&amp;B69, 'Лист2'!$A$2:$A$505&amp;'Лист2'!$B$2:$B$505, 0))</f>
        <v>10</v>
      </c>
      <c r="F69" s="8">
        <f t="array" ref="F69">INDEX('Лист2'!$D$2:$D$505, MATCH(A69&amp;B69, 'Лист2'!$A$2:$A$505&amp;'Лист2'!$B$2:$B$505, 0))</f>
        <v>580</v>
      </c>
      <c r="G69" s="8">
        <f t="array" ref="G69">INDEX('Лист2'!$E$2:$E$505, MATCH(A69&amp;B69, 'Лист2'!$A$2:$A$505&amp;'Лист2'!$B$2:$B$505, 0))</f>
        <v>506</v>
      </c>
      <c r="H69" s="9">
        <f t="shared" si="1"/>
        <v>1233.15</v>
      </c>
      <c r="I69" s="9">
        <f t="shared" si="2"/>
        <v>18</v>
      </c>
      <c r="J69" s="10">
        <f t="shared" si="3"/>
        <v>0.01753165101</v>
      </c>
    </row>
    <row r="70" ht="14.25" customHeight="1">
      <c r="A70" s="6">
        <v>43964.0</v>
      </c>
      <c r="B70" s="7" t="s">
        <v>13</v>
      </c>
      <c r="C70" s="7">
        <v>11202.0</v>
      </c>
      <c r="D70" s="7">
        <v>865714.5</v>
      </c>
      <c r="E70" s="8">
        <f t="array" ref="E70">INDEX('Лист2'!$C$2:$C$505, MATCH(A70&amp;B70, 'Лист2'!$A$2:$A$505&amp;'Лист2'!$B$2:$B$505, 0))</f>
        <v>10</v>
      </c>
      <c r="F70" s="8">
        <f t="array" ref="F70">INDEX('Лист2'!$D$2:$D$505, MATCH(A70&amp;B70, 'Лист2'!$A$2:$A$505&amp;'Лист2'!$B$2:$B$505, 0))</f>
        <v>612</v>
      </c>
      <c r="G70" s="8">
        <f t="array" ref="G70">INDEX('Лист2'!$E$2:$E$505, MATCH(A70&amp;B70, 'Лист2'!$A$2:$A$505&amp;'Лист2'!$B$2:$B$505, 0))</f>
        <v>530</v>
      </c>
      <c r="H70" s="9">
        <f t="shared" si="1"/>
        <v>1120.2</v>
      </c>
      <c r="I70" s="9">
        <f t="shared" si="2"/>
        <v>20</v>
      </c>
      <c r="J70" s="10">
        <f t="shared" si="3"/>
        <v>0.01744562338</v>
      </c>
    </row>
    <row r="71" ht="14.25" customHeight="1">
      <c r="A71" s="11">
        <v>43982.0</v>
      </c>
      <c r="B71" s="12" t="s">
        <v>12</v>
      </c>
      <c r="C71" s="12">
        <v>89149.5</v>
      </c>
      <c r="D71" s="12">
        <v>7512646.5</v>
      </c>
      <c r="E71" s="8">
        <f t="array" ref="E71">INDEX('Лист2'!$C$2:$C$505, MATCH(A71&amp;B71, 'Лист2'!$A$2:$A$505&amp;'Лист2'!$B$2:$B$505, 0))</f>
        <v>31</v>
      </c>
      <c r="F71" s="8">
        <f t="array" ref="F71">INDEX('Лист2'!$D$2:$D$505, MATCH(A71&amp;B71, 'Лист2'!$A$2:$A$505&amp;'Лист2'!$B$2:$B$505, 0))</f>
        <v>5760</v>
      </c>
      <c r="G71" s="8">
        <f t="array" ref="G71">INDEX('Лист2'!$E$2:$E$505, MATCH(A71&amp;B71, 'Лист2'!$A$2:$A$505&amp;'Лист2'!$B$2:$B$505, 0))</f>
        <v>5367</v>
      </c>
      <c r="H71" s="9">
        <f t="shared" si="1"/>
        <v>2875.790323</v>
      </c>
      <c r="I71" s="9">
        <f t="shared" si="2"/>
        <v>22</v>
      </c>
      <c r="J71" s="10">
        <f t="shared" si="3"/>
        <v>0.1513926375</v>
      </c>
    </row>
    <row r="72" ht="14.25" customHeight="1">
      <c r="A72" s="6">
        <v>43954.0</v>
      </c>
      <c r="B72" s="7" t="s">
        <v>13</v>
      </c>
      <c r="C72" s="7">
        <v>8185.5</v>
      </c>
      <c r="D72" s="7">
        <v>637881.0</v>
      </c>
      <c r="E72" s="8">
        <f t="array" ref="E72">INDEX('Лист2'!$C$2:$C$505, MATCH(A72&amp;B72, 'Лист2'!$A$2:$A$505&amp;'Лист2'!$B$2:$B$505, 0))</f>
        <v>10</v>
      </c>
      <c r="F72" s="8">
        <f t="array" ref="F72">INDEX('Лист2'!$D$2:$D$505, MATCH(A72&amp;B72, 'Лист2'!$A$2:$A$505&amp;'Лист2'!$B$2:$B$505, 0))</f>
        <v>402</v>
      </c>
      <c r="G72" s="8">
        <f t="array" ref="G72">INDEX('Лист2'!$E$2:$E$505, MATCH(A72&amp;B72, 'Лист2'!$A$2:$A$505&amp;'Лист2'!$B$2:$B$505, 0))</f>
        <v>333</v>
      </c>
      <c r="H72" s="9">
        <f t="shared" si="1"/>
        <v>818.55</v>
      </c>
      <c r="I72" s="9">
        <f t="shared" si="2"/>
        <v>18</v>
      </c>
      <c r="J72" s="10">
        <f t="shared" si="3"/>
        <v>0.01285438986</v>
      </c>
    </row>
    <row r="73" ht="14.25" customHeight="1">
      <c r="A73" s="11">
        <v>43981.0</v>
      </c>
      <c r="B73" s="12" t="s">
        <v>12</v>
      </c>
      <c r="C73" s="12">
        <v>108123.0</v>
      </c>
      <c r="D73" s="12">
        <v>9164707.5</v>
      </c>
      <c r="E73" s="8">
        <f t="array" ref="E73">INDEX('Лист2'!$C$2:$C$505, MATCH(A73&amp;B73, 'Лист2'!$A$2:$A$505&amp;'Лист2'!$B$2:$B$505, 0))</f>
        <v>31</v>
      </c>
      <c r="F73" s="8">
        <f t="array" ref="F73">INDEX('Лист2'!$D$2:$D$505, MATCH(A73&amp;B73, 'Лист2'!$A$2:$A$505&amp;'Лист2'!$B$2:$B$505, 0))</f>
        <v>6735</v>
      </c>
      <c r="G73" s="8">
        <f t="array" ref="G73">INDEX('Лист2'!$E$2:$E$505, MATCH(A73&amp;B73, 'Лист2'!$A$2:$A$505&amp;'Лист2'!$B$2:$B$505, 0))</f>
        <v>6264</v>
      </c>
      <c r="H73" s="9">
        <f t="shared" si="1"/>
        <v>3487.83871</v>
      </c>
      <c r="I73" s="9">
        <f t="shared" si="2"/>
        <v>22</v>
      </c>
      <c r="J73" s="10">
        <f t="shared" si="3"/>
        <v>0.1846844837</v>
      </c>
    </row>
    <row r="74" ht="14.25" customHeight="1">
      <c r="A74" s="6">
        <v>43957.0</v>
      </c>
      <c r="B74" s="7" t="s">
        <v>13</v>
      </c>
      <c r="C74" s="7">
        <v>9210.0</v>
      </c>
      <c r="D74" s="7">
        <v>696832.5</v>
      </c>
      <c r="E74" s="8">
        <f t="array" ref="E74">INDEX('Лист2'!$C$2:$C$505, MATCH(A74&amp;B74, 'Лист2'!$A$2:$A$505&amp;'Лист2'!$B$2:$B$505, 0))</f>
        <v>10</v>
      </c>
      <c r="F74" s="8">
        <f t="array" ref="F74">INDEX('Лист2'!$D$2:$D$505, MATCH(A74&amp;B74, 'Лист2'!$A$2:$A$505&amp;'Лист2'!$B$2:$B$505, 0))</f>
        <v>465</v>
      </c>
      <c r="G74" s="8">
        <f t="array" ref="G74">INDEX('Лист2'!$E$2:$E$505, MATCH(A74&amp;B74, 'Лист2'!$A$2:$A$505&amp;'Лист2'!$B$2:$B$505, 0))</f>
        <v>390</v>
      </c>
      <c r="H74" s="9">
        <f t="shared" si="1"/>
        <v>921</v>
      </c>
      <c r="I74" s="9">
        <f t="shared" si="2"/>
        <v>19</v>
      </c>
      <c r="J74" s="10">
        <f t="shared" si="3"/>
        <v>0.01404236311</v>
      </c>
    </row>
    <row r="75" ht="14.25" customHeight="1">
      <c r="A75" s="11">
        <v>43974.0</v>
      </c>
      <c r="B75" s="12" t="s">
        <v>13</v>
      </c>
      <c r="C75" s="12">
        <v>14773.5</v>
      </c>
      <c r="D75" s="12">
        <v>1241383.5</v>
      </c>
      <c r="E75" s="8">
        <f t="array" ref="E75">INDEX('Лист2'!$C$2:$C$505, MATCH(A75&amp;B75, 'Лист2'!$A$2:$A$505&amp;'Лист2'!$B$2:$B$505, 0))</f>
        <v>10</v>
      </c>
      <c r="F75" s="8">
        <f t="array" ref="F75">INDEX('Лист2'!$D$2:$D$505, MATCH(A75&amp;B75, 'Лист2'!$A$2:$A$505&amp;'Лист2'!$B$2:$B$505, 0))</f>
        <v>828</v>
      </c>
      <c r="G75" s="8">
        <f t="array" ref="G75">INDEX('Лист2'!$E$2:$E$505, MATCH(A75&amp;B75, 'Лист2'!$A$2:$A$505&amp;'Лист2'!$B$2:$B$505, 0))</f>
        <v>734</v>
      </c>
      <c r="H75" s="9">
        <f t="shared" si="1"/>
        <v>1477.35</v>
      </c>
      <c r="I75" s="9">
        <f t="shared" si="2"/>
        <v>21</v>
      </c>
      <c r="J75" s="10">
        <f t="shared" si="3"/>
        <v>0.02501599432</v>
      </c>
    </row>
    <row r="76" ht="14.25" customHeight="1">
      <c r="A76" s="6">
        <v>43979.0</v>
      </c>
      <c r="B76" s="7" t="s">
        <v>12</v>
      </c>
      <c r="C76" s="7">
        <v>78141.0</v>
      </c>
      <c r="D76" s="7">
        <v>6641569.5</v>
      </c>
      <c r="E76" s="8">
        <f t="array" ref="E76">INDEX('Лист2'!$C$2:$C$505, MATCH(A76&amp;B76, 'Лист2'!$A$2:$A$505&amp;'Лист2'!$B$2:$B$505, 0))</f>
        <v>31</v>
      </c>
      <c r="F76" s="8">
        <f t="array" ref="F76">INDEX('Лист2'!$D$2:$D$505, MATCH(A76&amp;B76, 'Лист2'!$A$2:$A$505&amp;'Лист2'!$B$2:$B$505, 0))</f>
        <v>5355</v>
      </c>
      <c r="G76" s="8">
        <f t="array" ref="G76">INDEX('Лист2'!$E$2:$E$505, MATCH(A76&amp;B76, 'Лист2'!$A$2:$A$505&amp;'Лист2'!$B$2:$B$505, 0))</f>
        <v>4969</v>
      </c>
      <c r="H76" s="9">
        <f t="shared" si="1"/>
        <v>2520.677419</v>
      </c>
      <c r="I76" s="9">
        <f t="shared" si="2"/>
        <v>22</v>
      </c>
      <c r="J76" s="10">
        <f t="shared" si="3"/>
        <v>0.1338389506</v>
      </c>
    </row>
    <row r="77" ht="14.25" customHeight="1">
      <c r="A77" s="11">
        <v>43976.0</v>
      </c>
      <c r="B77" s="12" t="s">
        <v>13</v>
      </c>
      <c r="C77" s="12">
        <v>12280.5</v>
      </c>
      <c r="D77" s="12">
        <v>1030440.0</v>
      </c>
      <c r="E77" s="8">
        <f t="array" ref="E77">INDEX('Лист2'!$C$2:$C$505, MATCH(A77&amp;B77, 'Лист2'!$A$2:$A$505&amp;'Лист2'!$B$2:$B$505, 0))</f>
        <v>10</v>
      </c>
      <c r="F77" s="8">
        <f t="array" ref="F77">INDEX('Лист2'!$D$2:$D$505, MATCH(A77&amp;B77, 'Лист2'!$A$2:$A$505&amp;'Лист2'!$B$2:$B$505, 0))</f>
        <v>739</v>
      </c>
      <c r="G77" s="8">
        <f t="array" ref="G77">INDEX('Лист2'!$E$2:$E$505, MATCH(A77&amp;B77, 'Лист2'!$A$2:$A$505&amp;'Лист2'!$B$2:$B$505, 0))</f>
        <v>642</v>
      </c>
      <c r="H77" s="9">
        <f t="shared" si="1"/>
        <v>1228.05</v>
      </c>
      <c r="I77" s="9">
        <f t="shared" si="2"/>
        <v>22</v>
      </c>
      <c r="J77" s="10">
        <f t="shared" si="3"/>
        <v>0.0207651231</v>
      </c>
    </row>
    <row r="78" ht="14.25" customHeight="1">
      <c r="A78" s="6">
        <v>43951.0</v>
      </c>
      <c r="B78" s="7" t="s">
        <v>13</v>
      </c>
      <c r="C78" s="7">
        <v>8934.0</v>
      </c>
      <c r="D78" s="7">
        <v>716196.0</v>
      </c>
      <c r="E78" s="8">
        <f t="array" ref="E78">INDEX('Лист2'!$C$2:$C$505, MATCH(A78&amp;B78, 'Лист2'!$A$2:$A$505&amp;'Лист2'!$B$2:$B$505, 0))</f>
        <v>10</v>
      </c>
      <c r="F78" s="8">
        <f t="array" ref="F78">INDEX('Лист2'!$D$2:$D$505, MATCH(A78&amp;B78, 'Лист2'!$A$2:$A$505&amp;'Лист2'!$B$2:$B$505, 0))</f>
        <v>448</v>
      </c>
      <c r="G78" s="8">
        <f t="array" ref="G78">INDEX('Лист2'!$E$2:$E$505, MATCH(A78&amp;B78, 'Лист2'!$A$2:$A$505&amp;'Лист2'!$B$2:$B$505, 0))</f>
        <v>376</v>
      </c>
      <c r="H78" s="9">
        <f t="shared" si="1"/>
        <v>893.4</v>
      </c>
      <c r="I78" s="9">
        <f t="shared" si="2"/>
        <v>18</v>
      </c>
      <c r="J78" s="10">
        <f t="shared" si="3"/>
        <v>0.01443257065</v>
      </c>
    </row>
    <row r="79" ht="14.25" customHeight="1">
      <c r="A79" s="11">
        <v>43961.0</v>
      </c>
      <c r="B79" s="12" t="s">
        <v>13</v>
      </c>
      <c r="C79" s="12">
        <v>12918.0</v>
      </c>
      <c r="D79" s="12">
        <v>1004788.5</v>
      </c>
      <c r="E79" s="8">
        <f t="array" ref="E79">INDEX('Лист2'!$C$2:$C$505, MATCH(A79&amp;B79, 'Лист2'!$A$2:$A$505&amp;'Лист2'!$B$2:$B$505, 0))</f>
        <v>10</v>
      </c>
      <c r="F79" s="8">
        <f t="array" ref="F79">INDEX('Лист2'!$D$2:$D$505, MATCH(A79&amp;B79, 'Лист2'!$A$2:$A$505&amp;'Лист2'!$B$2:$B$505, 0))</f>
        <v>642</v>
      </c>
      <c r="G79" s="8">
        <f t="array" ref="G79">INDEX('Лист2'!$E$2:$E$505, MATCH(A79&amp;B79, 'Лист2'!$A$2:$A$505&amp;'Лист2'!$B$2:$B$505, 0))</f>
        <v>556</v>
      </c>
      <c r="H79" s="9">
        <f t="shared" si="1"/>
        <v>1291.8</v>
      </c>
      <c r="I79" s="9">
        <f t="shared" si="2"/>
        <v>19</v>
      </c>
      <c r="J79" s="10">
        <f t="shared" si="3"/>
        <v>0.02024820163</v>
      </c>
    </row>
    <row r="80" ht="14.25" customHeight="1">
      <c r="A80" s="6">
        <v>43959.0</v>
      </c>
      <c r="B80" s="7" t="s">
        <v>13</v>
      </c>
      <c r="C80" s="7">
        <v>12528.0</v>
      </c>
      <c r="D80" s="7">
        <v>959703.0</v>
      </c>
      <c r="E80" s="8">
        <f t="array" ref="E80">INDEX('Лист2'!$C$2:$C$505, MATCH(A80&amp;B80, 'Лист2'!$A$2:$A$505&amp;'Лист2'!$B$2:$B$505, 0))</f>
        <v>10</v>
      </c>
      <c r="F80" s="8">
        <f t="array" ref="F80">INDEX('Лист2'!$D$2:$D$505, MATCH(A80&amp;B80, 'Лист2'!$A$2:$A$505&amp;'Лист2'!$B$2:$B$505, 0))</f>
        <v>638</v>
      </c>
      <c r="G80" s="8">
        <f t="array" ref="G80">INDEX('Лист2'!$E$2:$E$505, MATCH(A80&amp;B80, 'Лист2'!$A$2:$A$505&amp;'Лист2'!$B$2:$B$505, 0))</f>
        <v>547</v>
      </c>
      <c r="H80" s="9">
        <f t="shared" si="1"/>
        <v>1252.8</v>
      </c>
      <c r="I80" s="9">
        <f t="shared" si="2"/>
        <v>19</v>
      </c>
      <c r="J80" s="10">
        <f t="shared" si="3"/>
        <v>0.01933965193</v>
      </c>
    </row>
    <row r="81" ht="14.25" customHeight="1">
      <c r="A81" s="11">
        <v>43958.0</v>
      </c>
      <c r="B81" s="12" t="s">
        <v>13</v>
      </c>
      <c r="C81" s="12">
        <v>11029.5</v>
      </c>
      <c r="D81" s="12">
        <v>863754.0</v>
      </c>
      <c r="E81" s="8">
        <f t="array" ref="E81">INDEX('Лист2'!$C$2:$C$505, MATCH(A81&amp;B81, 'Лист2'!$A$2:$A$505&amp;'Лист2'!$B$2:$B$505, 0))</f>
        <v>10</v>
      </c>
      <c r="F81" s="8">
        <f t="array" ref="F81">INDEX('Лист2'!$D$2:$D$505, MATCH(A81&amp;B81, 'Лист2'!$A$2:$A$505&amp;'Лист2'!$B$2:$B$505, 0))</f>
        <v>563</v>
      </c>
      <c r="G81" s="8">
        <f t="array" ref="G81">INDEX('Лист2'!$E$2:$E$505, MATCH(A81&amp;B81, 'Лист2'!$A$2:$A$505&amp;'Лист2'!$B$2:$B$505, 0))</f>
        <v>486</v>
      </c>
      <c r="H81" s="9">
        <f t="shared" si="1"/>
        <v>1102.95</v>
      </c>
      <c r="I81" s="9">
        <f t="shared" si="2"/>
        <v>19</v>
      </c>
      <c r="J81" s="10">
        <f t="shared" si="3"/>
        <v>0.01740611597</v>
      </c>
    </row>
    <row r="82" ht="14.25" customHeight="1">
      <c r="A82" s="6">
        <v>43975.0</v>
      </c>
      <c r="B82" s="7" t="s">
        <v>13</v>
      </c>
      <c r="C82" s="7">
        <v>9994.5</v>
      </c>
      <c r="D82" s="7">
        <v>828984.0</v>
      </c>
      <c r="E82" s="8">
        <f t="array" ref="E82">INDEX('Лист2'!$C$2:$C$505, MATCH(A82&amp;B82, 'Лист2'!$A$2:$A$505&amp;'Лист2'!$B$2:$B$505, 0))</f>
        <v>10</v>
      </c>
      <c r="F82" s="8">
        <f t="array" ref="F82">INDEX('Лист2'!$D$2:$D$505, MATCH(A82&amp;B82, 'Лист2'!$A$2:$A$505&amp;'Лист2'!$B$2:$B$505, 0))</f>
        <v>639</v>
      </c>
      <c r="G82" s="8">
        <f t="array" ref="G82">INDEX('Лист2'!$E$2:$E$505, MATCH(A82&amp;B82, 'Лист2'!$A$2:$A$505&amp;'Лист2'!$B$2:$B$505, 0))</f>
        <v>557</v>
      </c>
      <c r="H82" s="9">
        <f t="shared" si="1"/>
        <v>999.45</v>
      </c>
      <c r="I82" s="9">
        <f t="shared" si="2"/>
        <v>21</v>
      </c>
      <c r="J82" s="10">
        <f t="shared" si="3"/>
        <v>0.01670544118</v>
      </c>
    </row>
    <row r="83" ht="14.25" customHeight="1">
      <c r="A83" s="11">
        <v>43982.0</v>
      </c>
      <c r="B83" s="12" t="s">
        <v>13</v>
      </c>
      <c r="C83" s="12">
        <v>12724.5</v>
      </c>
      <c r="D83" s="12">
        <v>1045515.0</v>
      </c>
      <c r="E83" s="8">
        <f t="array" ref="E83">INDEX('Лист2'!$C$2:$C$505, MATCH(A83&amp;B83, 'Лист2'!$A$2:$A$505&amp;'Лист2'!$B$2:$B$505, 0))</f>
        <v>10</v>
      </c>
      <c r="F83" s="8">
        <f t="array" ref="F83">INDEX('Лист2'!$D$2:$D$505, MATCH(A83&amp;B83, 'Лист2'!$A$2:$A$505&amp;'Лист2'!$B$2:$B$505, 0))</f>
        <v>749</v>
      </c>
      <c r="G83" s="8">
        <f t="array" ref="G83">INDEX('Лист2'!$E$2:$E$505, MATCH(A83&amp;B83, 'Лист2'!$A$2:$A$505&amp;'Лист2'!$B$2:$B$505, 0))</f>
        <v>655</v>
      </c>
      <c r="H83" s="9">
        <f t="shared" si="1"/>
        <v>1272.45</v>
      </c>
      <c r="I83" s="9">
        <f t="shared" si="2"/>
        <v>22</v>
      </c>
      <c r="J83" s="10">
        <f t="shared" si="3"/>
        <v>0.02106891005</v>
      </c>
    </row>
    <row r="84" ht="14.25" customHeight="1">
      <c r="A84" s="6">
        <v>43981.0</v>
      </c>
      <c r="B84" s="7" t="s">
        <v>13</v>
      </c>
      <c r="C84" s="7">
        <v>14728.5</v>
      </c>
      <c r="D84" s="7">
        <v>1260483.0</v>
      </c>
      <c r="E84" s="8">
        <f t="array" ref="E84">INDEX('Лист2'!$C$2:$C$505, MATCH(A84&amp;B84, 'Лист2'!$A$2:$A$505&amp;'Лист2'!$B$2:$B$505, 0))</f>
        <v>10</v>
      </c>
      <c r="F84" s="8">
        <f t="array" ref="F84">INDEX('Лист2'!$D$2:$D$505, MATCH(A84&amp;B84, 'Лист2'!$A$2:$A$505&amp;'Лист2'!$B$2:$B$505, 0))</f>
        <v>865</v>
      </c>
      <c r="G84" s="8">
        <f t="array" ref="G84">INDEX('Лист2'!$E$2:$E$505, MATCH(A84&amp;B84, 'Лист2'!$A$2:$A$505&amp;'Лист2'!$B$2:$B$505, 0))</f>
        <v>763</v>
      </c>
      <c r="H84" s="9">
        <f t="shared" si="1"/>
        <v>1472.85</v>
      </c>
      <c r="I84" s="9">
        <f t="shared" si="2"/>
        <v>22</v>
      </c>
      <c r="J84" s="10">
        <f t="shared" si="3"/>
        <v>0.02540088182</v>
      </c>
    </row>
    <row r="85" ht="14.25" customHeight="1">
      <c r="A85" s="11">
        <v>43979.0</v>
      </c>
      <c r="B85" s="12" t="s">
        <v>13</v>
      </c>
      <c r="C85" s="12">
        <v>13038.0</v>
      </c>
      <c r="D85" s="12">
        <v>1114552.5</v>
      </c>
      <c r="E85" s="8">
        <f t="array" ref="E85">INDEX('Лист2'!$C$2:$C$505, MATCH(A85&amp;B85, 'Лист2'!$A$2:$A$505&amp;'Лист2'!$B$2:$B$505, 0))</f>
        <v>10</v>
      </c>
      <c r="F85" s="8">
        <f t="array" ref="F85">INDEX('Лист2'!$D$2:$D$505, MATCH(A85&amp;B85, 'Лист2'!$A$2:$A$505&amp;'Лист2'!$B$2:$B$505, 0))</f>
        <v>791</v>
      </c>
      <c r="G85" s="8">
        <f t="array" ref="G85">INDEX('Лист2'!$E$2:$E$505, MATCH(A85&amp;B85, 'Лист2'!$A$2:$A$505&amp;'Лист2'!$B$2:$B$505, 0))</f>
        <v>697</v>
      </c>
      <c r="H85" s="9">
        <f t="shared" si="1"/>
        <v>1303.8</v>
      </c>
      <c r="I85" s="9">
        <f t="shared" si="2"/>
        <v>22</v>
      </c>
      <c r="J85" s="10">
        <f t="shared" si="3"/>
        <v>0.0224601334</v>
      </c>
    </row>
    <row r="86" ht="14.25" customHeight="1">
      <c r="A86" s="6">
        <v>43967.0</v>
      </c>
      <c r="B86" s="7" t="s">
        <v>14</v>
      </c>
      <c r="C86" s="7">
        <v>35482.5</v>
      </c>
      <c r="D86" s="7">
        <v>3222517.5</v>
      </c>
      <c r="E86" s="8">
        <f t="array" ref="E86">INDEX('Лист2'!$C$2:$C$505, MATCH(A86&amp;B86, 'Лист2'!$A$2:$A$505&amp;'Лист2'!$B$2:$B$505, 0))</f>
        <v>19</v>
      </c>
      <c r="F86" s="8">
        <f t="array" ref="F86">INDEX('Лист2'!$D$2:$D$505, MATCH(A86&amp;B86, 'Лист2'!$A$2:$A$505&amp;'Лист2'!$B$2:$B$505, 0))</f>
        <v>2080</v>
      </c>
      <c r="G86" s="8">
        <f t="array" ref="G86">INDEX('Лист2'!$E$2:$E$505, MATCH(A86&amp;B86, 'Лист2'!$A$2:$A$505&amp;'Лист2'!$B$2:$B$505, 0))</f>
        <v>1844</v>
      </c>
      <c r="H86" s="9">
        <f t="shared" si="1"/>
        <v>1867.5</v>
      </c>
      <c r="I86" s="9">
        <f t="shared" si="2"/>
        <v>20</v>
      </c>
      <c r="J86" s="10">
        <f t="shared" si="3"/>
        <v>0.06493922264</v>
      </c>
    </row>
    <row r="87" ht="14.25" customHeight="1">
      <c r="A87" s="11">
        <v>43970.0</v>
      </c>
      <c r="B87" s="12" t="s">
        <v>14</v>
      </c>
      <c r="C87" s="12">
        <v>32434.5</v>
      </c>
      <c r="D87" s="12">
        <v>2865337.5</v>
      </c>
      <c r="E87" s="8">
        <f t="array" ref="E87">INDEX('Лист2'!$C$2:$C$505, MATCH(A87&amp;B87, 'Лист2'!$A$2:$A$505&amp;'Лист2'!$B$2:$B$505, 0))</f>
        <v>19</v>
      </c>
      <c r="F87" s="8">
        <f t="array" ref="F87">INDEX('Лист2'!$D$2:$D$505, MATCH(A87&amp;B87, 'Лист2'!$A$2:$A$505&amp;'Лист2'!$B$2:$B$505, 0))</f>
        <v>1999</v>
      </c>
      <c r="G87" s="8">
        <f t="array" ref="G87">INDEX('Лист2'!$E$2:$E$505, MATCH(A87&amp;B87, 'Лист2'!$A$2:$A$505&amp;'Лист2'!$B$2:$B$505, 0))</f>
        <v>1799</v>
      </c>
      <c r="H87" s="9">
        <f t="shared" si="1"/>
        <v>1707.078947</v>
      </c>
      <c r="I87" s="9">
        <f t="shared" si="2"/>
        <v>21</v>
      </c>
      <c r="J87" s="10">
        <f t="shared" si="3"/>
        <v>0.05774143658</v>
      </c>
    </row>
    <row r="88" ht="14.25" customHeight="1">
      <c r="A88" s="6">
        <v>43968.0</v>
      </c>
      <c r="B88" s="7" t="s">
        <v>14</v>
      </c>
      <c r="C88" s="7">
        <v>30486.0</v>
      </c>
      <c r="D88" s="7">
        <v>2694289.5</v>
      </c>
      <c r="E88" s="8">
        <f t="array" ref="E88">INDEX('Лист2'!$C$2:$C$505, MATCH(A88&amp;B88, 'Лист2'!$A$2:$A$505&amp;'Лист2'!$B$2:$B$505, 0))</f>
        <v>19</v>
      </c>
      <c r="F88" s="8">
        <f t="array" ref="F88">INDEX('Лист2'!$D$2:$D$505, MATCH(A88&amp;B88, 'Лист2'!$A$2:$A$505&amp;'Лист2'!$B$2:$B$505, 0))</f>
        <v>1871</v>
      </c>
      <c r="G88" s="8">
        <f t="array" ref="G88">INDEX('Лист2'!$E$2:$E$505, MATCH(A88&amp;B88, 'Лист2'!$A$2:$A$505&amp;'Лист2'!$B$2:$B$505, 0))</f>
        <v>1660</v>
      </c>
      <c r="H88" s="9">
        <f t="shared" si="1"/>
        <v>1604.526316</v>
      </c>
      <c r="I88" s="9">
        <f t="shared" si="2"/>
        <v>20</v>
      </c>
      <c r="J88" s="10">
        <f t="shared" si="3"/>
        <v>0.05429452771</v>
      </c>
    </row>
    <row r="89" ht="14.25" customHeight="1">
      <c r="A89" s="11">
        <v>43960.0</v>
      </c>
      <c r="B89" s="12" t="s">
        <v>14</v>
      </c>
      <c r="C89" s="12">
        <v>32079.0</v>
      </c>
      <c r="D89" s="12">
        <v>2902167.0</v>
      </c>
      <c r="E89" s="8">
        <f t="array" ref="E89">INDEX('Лист2'!$C$2:$C$505, MATCH(A89&amp;B89, 'Лист2'!$A$2:$A$505&amp;'Лист2'!$B$2:$B$505, 0))</f>
        <v>19</v>
      </c>
      <c r="F89" s="8">
        <f t="array" ref="F89">INDEX('Лист2'!$D$2:$D$505, MATCH(A89&amp;B89, 'Лист2'!$A$2:$A$505&amp;'Лист2'!$B$2:$B$505, 0))</f>
        <v>1851</v>
      </c>
      <c r="G89" s="8">
        <f t="array" ref="G89">INDEX('Лист2'!$E$2:$E$505, MATCH(A89&amp;B89, 'Лист2'!$A$2:$A$505&amp;'Лист2'!$B$2:$B$505, 0))</f>
        <v>1635</v>
      </c>
      <c r="H89" s="9">
        <f t="shared" si="1"/>
        <v>1688.368421</v>
      </c>
      <c r="I89" s="9">
        <f t="shared" si="2"/>
        <v>19</v>
      </c>
      <c r="J89" s="10">
        <f t="shared" si="3"/>
        <v>0.0584836138</v>
      </c>
    </row>
    <row r="90" ht="14.25" customHeight="1">
      <c r="A90" s="6">
        <v>43955.0</v>
      </c>
      <c r="B90" s="7" t="s">
        <v>14</v>
      </c>
      <c r="C90" s="7">
        <v>27072.0</v>
      </c>
      <c r="D90" s="7">
        <v>2450968.5</v>
      </c>
      <c r="E90" s="8">
        <f t="array" ref="E90">INDEX('Лист2'!$C$2:$C$505, MATCH(A90&amp;B90, 'Лист2'!$A$2:$A$505&amp;'Лист2'!$B$2:$B$505, 0))</f>
        <v>19</v>
      </c>
      <c r="F90" s="8">
        <f t="array" ref="F90">INDEX('Лист2'!$D$2:$D$505, MATCH(A90&amp;B90, 'Лист2'!$A$2:$A$505&amp;'Лист2'!$B$2:$B$505, 0))</f>
        <v>1582</v>
      </c>
      <c r="G90" s="8">
        <f t="array" ref="G90">INDEX('Лист2'!$E$2:$E$505, MATCH(A90&amp;B90, 'Лист2'!$A$2:$A$505&amp;'Лист2'!$B$2:$B$505, 0))</f>
        <v>1403</v>
      </c>
      <c r="H90" s="9">
        <f t="shared" si="1"/>
        <v>1424.842105</v>
      </c>
      <c r="I90" s="9">
        <f t="shared" si="2"/>
        <v>19</v>
      </c>
      <c r="J90" s="10">
        <f t="shared" si="3"/>
        <v>0.04939119465</v>
      </c>
    </row>
    <row r="91" ht="14.25" customHeight="1">
      <c r="A91" s="11">
        <v>43950.0</v>
      </c>
      <c r="B91" s="12" t="s">
        <v>14</v>
      </c>
      <c r="C91" s="12">
        <v>25917.0</v>
      </c>
      <c r="D91" s="12">
        <v>2397588.0</v>
      </c>
      <c r="E91" s="8">
        <f t="array" ref="E91">INDEX('Лист2'!$C$2:$C$505, MATCH(A91&amp;B91, 'Лист2'!$A$2:$A$505&amp;'Лист2'!$B$2:$B$505, 0))</f>
        <v>18</v>
      </c>
      <c r="F91" s="8">
        <f t="array" ref="F91">INDEX('Лист2'!$D$2:$D$505, MATCH(A91&amp;B91, 'Лист2'!$A$2:$A$505&amp;'Лист2'!$B$2:$B$505, 0))</f>
        <v>1534</v>
      </c>
      <c r="G91" s="8">
        <f t="array" ref="G91">INDEX('Лист2'!$E$2:$E$505, MATCH(A91&amp;B91, 'Лист2'!$A$2:$A$505&amp;'Лист2'!$B$2:$B$505, 0))</f>
        <v>1369</v>
      </c>
      <c r="H91" s="9">
        <f t="shared" si="1"/>
        <v>1439.833333</v>
      </c>
      <c r="I91" s="9">
        <f t="shared" si="2"/>
        <v>18</v>
      </c>
      <c r="J91" s="10">
        <f t="shared" si="3"/>
        <v>0.04831548655</v>
      </c>
    </row>
    <row r="92" ht="14.25" customHeight="1">
      <c r="A92" s="6">
        <v>43953.0</v>
      </c>
      <c r="B92" s="7" t="s">
        <v>14</v>
      </c>
      <c r="C92" s="7">
        <v>19461.0</v>
      </c>
      <c r="D92" s="7">
        <v>1799230.5</v>
      </c>
      <c r="E92" s="8">
        <f t="array" ref="E92">INDEX('Лист2'!$C$2:$C$505, MATCH(A92&amp;B92, 'Лист2'!$A$2:$A$505&amp;'Лист2'!$B$2:$B$505, 0))</f>
        <v>19</v>
      </c>
      <c r="F92" s="8">
        <f t="array" ref="F92">INDEX('Лист2'!$D$2:$D$505, MATCH(A92&amp;B92, 'Лист2'!$A$2:$A$505&amp;'Лист2'!$B$2:$B$505, 0))</f>
        <v>1217</v>
      </c>
      <c r="G92" s="8">
        <f t="array" ref="G92">INDEX('Лист2'!$E$2:$E$505, MATCH(A92&amp;B92, 'Лист2'!$A$2:$A$505&amp;'Лист2'!$B$2:$B$505, 0))</f>
        <v>1048</v>
      </c>
      <c r="H92" s="9">
        <f t="shared" si="1"/>
        <v>1024.263158</v>
      </c>
      <c r="I92" s="9">
        <f t="shared" si="2"/>
        <v>18</v>
      </c>
      <c r="J92" s="10">
        <f t="shared" si="3"/>
        <v>0.03625756261</v>
      </c>
    </row>
    <row r="93" ht="14.25" customHeight="1">
      <c r="A93" s="11">
        <v>43977.0</v>
      </c>
      <c r="B93" s="12" t="s">
        <v>14</v>
      </c>
      <c r="C93" s="12">
        <v>31407.0</v>
      </c>
      <c r="D93" s="12">
        <v>2907411.0</v>
      </c>
      <c r="E93" s="8">
        <f t="array" ref="E93">INDEX('Лист2'!$C$2:$C$505, MATCH(A93&amp;B93, 'Лист2'!$A$2:$A$505&amp;'Лист2'!$B$2:$B$505, 0))</f>
        <v>20</v>
      </c>
      <c r="F93" s="8">
        <f t="array" ref="F93">INDEX('Лист2'!$D$2:$D$505, MATCH(A93&amp;B93, 'Лист2'!$A$2:$A$505&amp;'Лист2'!$B$2:$B$505, 0))</f>
        <v>2036</v>
      </c>
      <c r="G93" s="8">
        <f t="array" ref="G93">INDEX('Лист2'!$E$2:$E$505, MATCH(A93&amp;B93, 'Лист2'!$A$2:$A$505&amp;'Лист2'!$B$2:$B$505, 0))</f>
        <v>1790</v>
      </c>
      <c r="H93" s="9">
        <f t="shared" si="1"/>
        <v>1570.35</v>
      </c>
      <c r="I93" s="9">
        <f t="shared" si="2"/>
        <v>22</v>
      </c>
      <c r="J93" s="10">
        <f t="shared" si="3"/>
        <v>0.05858928934</v>
      </c>
    </row>
    <row r="94" ht="14.25" customHeight="1">
      <c r="A94" s="6">
        <v>43952.0</v>
      </c>
      <c r="B94" s="7" t="s">
        <v>14</v>
      </c>
      <c r="C94" s="7">
        <v>25792.5</v>
      </c>
      <c r="D94" s="7">
        <v>2374356.0</v>
      </c>
      <c r="E94" s="8">
        <f t="array" ref="E94">INDEX('Лист2'!$C$2:$C$505, MATCH(A94&amp;B94, 'Лист2'!$A$2:$A$505&amp;'Лист2'!$B$2:$B$505, 0))</f>
        <v>19</v>
      </c>
      <c r="F94" s="8">
        <f t="array" ref="F94">INDEX('Лист2'!$D$2:$D$505, MATCH(A94&amp;B94, 'Лист2'!$A$2:$A$505&amp;'Лист2'!$B$2:$B$505, 0))</f>
        <v>1497</v>
      </c>
      <c r="G94" s="8">
        <f t="array" ref="G94">INDEX('Лист2'!$E$2:$E$505, MATCH(A94&amp;B94, 'Лист2'!$A$2:$A$505&amp;'Лист2'!$B$2:$B$505, 0))</f>
        <v>1291</v>
      </c>
      <c r="H94" s="9">
        <f t="shared" si="1"/>
        <v>1357.5</v>
      </c>
      <c r="I94" s="9">
        <f t="shared" si="2"/>
        <v>18</v>
      </c>
      <c r="J94" s="10">
        <f t="shared" si="3"/>
        <v>0.04784732213</v>
      </c>
    </row>
    <row r="95" ht="14.25" customHeight="1">
      <c r="A95" s="11">
        <v>43963.0</v>
      </c>
      <c r="B95" s="12" t="s">
        <v>14</v>
      </c>
      <c r="C95" s="12">
        <v>26032.5</v>
      </c>
      <c r="D95" s="12">
        <v>2370432.0</v>
      </c>
      <c r="E95" s="8">
        <f t="array" ref="E95">INDEX('Лист2'!$C$2:$C$505, MATCH(A95&amp;B95, 'Лист2'!$A$2:$A$505&amp;'Лист2'!$B$2:$B$505, 0))</f>
        <v>19</v>
      </c>
      <c r="F95" s="8">
        <f t="array" ref="F95">INDEX('Лист2'!$D$2:$D$505, MATCH(A95&amp;B95, 'Лист2'!$A$2:$A$505&amp;'Лист2'!$B$2:$B$505, 0))</f>
        <v>1649</v>
      </c>
      <c r="G95" s="8">
        <f t="array" ref="G95">INDEX('Лист2'!$E$2:$E$505, MATCH(A95&amp;B95, 'Лист2'!$A$2:$A$505&amp;'Лист2'!$B$2:$B$505, 0))</f>
        <v>1460</v>
      </c>
      <c r="H95" s="9">
        <f t="shared" si="1"/>
        <v>1370.131579</v>
      </c>
      <c r="I95" s="9">
        <f t="shared" si="2"/>
        <v>20</v>
      </c>
      <c r="J95" s="10">
        <f t="shared" si="3"/>
        <v>0.04776824684</v>
      </c>
    </row>
    <row r="96" ht="14.25" customHeight="1">
      <c r="A96" s="6">
        <v>43972.0</v>
      </c>
      <c r="B96" s="7" t="s">
        <v>14</v>
      </c>
      <c r="C96" s="7">
        <v>31707.0</v>
      </c>
      <c r="D96" s="7">
        <v>2853181.5</v>
      </c>
      <c r="E96" s="8">
        <f t="array" ref="E96">INDEX('Лист2'!$C$2:$C$505, MATCH(A96&amp;B96, 'Лист2'!$A$2:$A$505&amp;'Лист2'!$B$2:$B$505, 0))</f>
        <v>19</v>
      </c>
      <c r="F96" s="8">
        <f t="array" ref="F96">INDEX('Лист2'!$D$2:$D$505, MATCH(A96&amp;B96, 'Лист2'!$A$2:$A$505&amp;'Лист2'!$B$2:$B$505, 0))</f>
        <v>1949</v>
      </c>
      <c r="G96" s="8">
        <f t="array" ref="G96">INDEX('Лист2'!$E$2:$E$505, MATCH(A96&amp;B96, 'Лист2'!$A$2:$A$505&amp;'Лист2'!$B$2:$B$505, 0))</f>
        <v>1724</v>
      </c>
      <c r="H96" s="9">
        <f t="shared" si="1"/>
        <v>1668.789474</v>
      </c>
      <c r="I96" s="9">
        <f t="shared" si="2"/>
        <v>21</v>
      </c>
      <c r="J96" s="10">
        <f t="shared" si="3"/>
        <v>0.05749647245</v>
      </c>
    </row>
    <row r="97" ht="14.25" customHeight="1">
      <c r="A97" s="11">
        <v>43971.0</v>
      </c>
      <c r="B97" s="12" t="s">
        <v>14</v>
      </c>
      <c r="C97" s="12">
        <v>29955.0</v>
      </c>
      <c r="D97" s="12">
        <v>2692230.0</v>
      </c>
      <c r="E97" s="8">
        <f t="array" ref="E97">INDEX('Лист2'!$C$2:$C$505, MATCH(A97&amp;B97, 'Лист2'!$A$2:$A$505&amp;'Лист2'!$B$2:$B$505, 0))</f>
        <v>19</v>
      </c>
      <c r="F97" s="8">
        <f t="array" ref="F97">INDEX('Лист2'!$D$2:$D$505, MATCH(A97&amp;B97, 'Лист2'!$A$2:$A$505&amp;'Лист2'!$B$2:$B$505, 0))</f>
        <v>1889</v>
      </c>
      <c r="G97" s="8">
        <f t="array" ref="G97">INDEX('Лист2'!$E$2:$E$505, MATCH(A97&amp;B97, 'Лист2'!$A$2:$A$505&amp;'Лист2'!$B$2:$B$505, 0))</f>
        <v>1690</v>
      </c>
      <c r="H97" s="9">
        <f t="shared" si="1"/>
        <v>1576.578947</v>
      </c>
      <c r="I97" s="9">
        <f t="shared" si="2"/>
        <v>21</v>
      </c>
      <c r="J97" s="10">
        <f t="shared" si="3"/>
        <v>0.05425302527</v>
      </c>
    </row>
    <row r="98" ht="14.25" customHeight="1">
      <c r="A98" s="6">
        <v>43956.0</v>
      </c>
      <c r="B98" s="7" t="s">
        <v>14</v>
      </c>
      <c r="C98" s="7">
        <v>22848.0</v>
      </c>
      <c r="D98" s="7">
        <v>2079900.0</v>
      </c>
      <c r="E98" s="8">
        <f t="array" ref="E98">INDEX('Лист2'!$C$2:$C$505, MATCH(A98&amp;B98, 'Лист2'!$A$2:$A$505&amp;'Лист2'!$B$2:$B$505, 0))</f>
        <v>19</v>
      </c>
      <c r="F98" s="8">
        <f t="array" ref="F98">INDEX('Лист2'!$D$2:$D$505, MATCH(A98&amp;B98, 'Лист2'!$A$2:$A$505&amp;'Лист2'!$B$2:$B$505, 0))</f>
        <v>1417</v>
      </c>
      <c r="G98" s="8">
        <f t="array" ref="G98">INDEX('Лист2'!$E$2:$E$505, MATCH(A98&amp;B98, 'Лист2'!$A$2:$A$505&amp;'Лист2'!$B$2:$B$505, 0))</f>
        <v>1245</v>
      </c>
      <c r="H98" s="9">
        <f t="shared" si="1"/>
        <v>1202.526316</v>
      </c>
      <c r="I98" s="9">
        <f t="shared" si="2"/>
        <v>19</v>
      </c>
      <c r="J98" s="10">
        <f t="shared" si="3"/>
        <v>0.04191353163</v>
      </c>
    </row>
    <row r="99" ht="14.25" customHeight="1">
      <c r="A99" s="11">
        <v>43949.0</v>
      </c>
      <c r="B99" s="12" t="s">
        <v>14</v>
      </c>
      <c r="C99" s="12">
        <v>23314.5</v>
      </c>
      <c r="D99" s="12">
        <v>2136817.5</v>
      </c>
      <c r="E99" s="8">
        <f t="array" ref="E99">INDEX('Лист2'!$C$2:$C$505, MATCH(A99&amp;B99, 'Лист2'!$A$2:$A$505&amp;'Лист2'!$B$2:$B$505, 0))</f>
        <v>17</v>
      </c>
      <c r="F99" s="8">
        <f t="array" ref="F99">INDEX('Лист2'!$D$2:$D$505, MATCH(A99&amp;B99, 'Лист2'!$A$2:$A$505&amp;'Лист2'!$B$2:$B$505, 0))</f>
        <v>1439</v>
      </c>
      <c r="G99" s="8">
        <f t="array" ref="G99">INDEX('Лист2'!$E$2:$E$505, MATCH(A99&amp;B99, 'Лист2'!$A$2:$A$505&amp;'Лист2'!$B$2:$B$505, 0))</f>
        <v>1265</v>
      </c>
      <c r="H99" s="9">
        <f t="shared" si="1"/>
        <v>1371.441176</v>
      </c>
      <c r="I99" s="9">
        <f t="shared" si="2"/>
        <v>18</v>
      </c>
      <c r="J99" s="10">
        <f t="shared" si="3"/>
        <v>0.04306051631</v>
      </c>
    </row>
    <row r="100" ht="14.25" customHeight="1">
      <c r="A100" s="6">
        <v>43964.0</v>
      </c>
      <c r="B100" s="7" t="s">
        <v>14</v>
      </c>
      <c r="C100" s="7">
        <v>26464.5</v>
      </c>
      <c r="D100" s="7">
        <v>2373337.5</v>
      </c>
      <c r="E100" s="8">
        <f t="array" ref="E100">INDEX('Лист2'!$C$2:$C$505, MATCH(A100&amp;B100, 'Лист2'!$A$2:$A$505&amp;'Лист2'!$B$2:$B$505, 0))</f>
        <v>19</v>
      </c>
      <c r="F100" s="8">
        <f t="array" ref="F100">INDEX('Лист2'!$D$2:$D$505, MATCH(A100&amp;B100, 'Лист2'!$A$2:$A$505&amp;'Лист2'!$B$2:$B$505, 0))</f>
        <v>1625</v>
      </c>
      <c r="G100" s="8">
        <f t="array" ref="G100">INDEX('Лист2'!$E$2:$E$505, MATCH(A100&amp;B100, 'Лист2'!$A$2:$A$505&amp;'Лист2'!$B$2:$B$505, 0))</f>
        <v>1444</v>
      </c>
      <c r="H100" s="9">
        <f t="shared" si="1"/>
        <v>1392.868421</v>
      </c>
      <c r="I100" s="9">
        <f t="shared" si="2"/>
        <v>20</v>
      </c>
      <c r="J100" s="10">
        <f t="shared" si="3"/>
        <v>0.04782679762</v>
      </c>
    </row>
    <row r="101" ht="14.25" customHeight="1">
      <c r="A101" s="11">
        <v>43954.0</v>
      </c>
      <c r="B101" s="12" t="s">
        <v>14</v>
      </c>
      <c r="C101" s="12">
        <v>23539.5</v>
      </c>
      <c r="D101" s="12">
        <v>2170309.5</v>
      </c>
      <c r="E101" s="8">
        <f t="array" ref="E101">INDEX('Лист2'!$C$2:$C$505, MATCH(A101&amp;B101, 'Лист2'!$A$2:$A$505&amp;'Лист2'!$B$2:$B$505, 0))</f>
        <v>19</v>
      </c>
      <c r="F101" s="8">
        <f t="array" ref="F101">INDEX('Лист2'!$D$2:$D$505, MATCH(A101&amp;B101, 'Лист2'!$A$2:$A$505&amp;'Лист2'!$B$2:$B$505, 0))</f>
        <v>1402</v>
      </c>
      <c r="G101" s="8">
        <f t="array" ref="G101">INDEX('Лист2'!$E$2:$E$505, MATCH(A101&amp;B101, 'Лист2'!$A$2:$A$505&amp;'Лист2'!$B$2:$B$505, 0))</f>
        <v>1234</v>
      </c>
      <c r="H101" s="9">
        <f t="shared" si="1"/>
        <v>1238.921053</v>
      </c>
      <c r="I101" s="9">
        <f t="shared" si="2"/>
        <v>18</v>
      </c>
      <c r="J101" s="10">
        <f t="shared" si="3"/>
        <v>0.04373543722</v>
      </c>
    </row>
    <row r="102" ht="14.25" customHeight="1">
      <c r="A102" s="6">
        <v>43957.0</v>
      </c>
      <c r="B102" s="7" t="s">
        <v>14</v>
      </c>
      <c r="C102" s="7">
        <v>24678.0</v>
      </c>
      <c r="D102" s="7">
        <v>2232519.0</v>
      </c>
      <c r="E102" s="8">
        <f t="array" ref="E102">INDEX('Лист2'!$C$2:$C$505, MATCH(A102&amp;B102, 'Лист2'!$A$2:$A$505&amp;'Лист2'!$B$2:$B$505, 0))</f>
        <v>19</v>
      </c>
      <c r="F102" s="8">
        <f t="array" ref="F102">INDEX('Лист2'!$D$2:$D$505, MATCH(A102&amp;B102, 'Лист2'!$A$2:$A$505&amp;'Лист2'!$B$2:$B$505, 0))</f>
        <v>1499</v>
      </c>
      <c r="G102" s="8">
        <f t="array" ref="G102">INDEX('Лист2'!$E$2:$E$505, MATCH(A102&amp;B102, 'Лист2'!$A$2:$A$505&amp;'Лист2'!$B$2:$B$505, 0))</f>
        <v>1323</v>
      </c>
      <c r="H102" s="9">
        <f t="shared" si="1"/>
        <v>1298.842105</v>
      </c>
      <c r="I102" s="9">
        <f t="shared" si="2"/>
        <v>19</v>
      </c>
      <c r="J102" s="10">
        <f t="shared" si="3"/>
        <v>0.04498906472</v>
      </c>
    </row>
    <row r="103" ht="14.25" customHeight="1">
      <c r="A103" s="11">
        <v>43974.0</v>
      </c>
      <c r="B103" s="12" t="s">
        <v>14</v>
      </c>
      <c r="C103" s="12">
        <v>38176.5</v>
      </c>
      <c r="D103" s="12">
        <v>3385372.5</v>
      </c>
      <c r="E103" s="8">
        <f t="array" ref="E103">INDEX('Лист2'!$C$2:$C$505, MATCH(A103&amp;B103, 'Лист2'!$A$2:$A$505&amp;'Лист2'!$B$2:$B$505, 0))</f>
        <v>20</v>
      </c>
      <c r="F103" s="8">
        <f t="array" ref="F103">INDEX('Лист2'!$D$2:$D$505, MATCH(A103&amp;B103, 'Лист2'!$A$2:$A$505&amp;'Лист2'!$B$2:$B$505, 0))</f>
        <v>2266</v>
      </c>
      <c r="G103" s="8">
        <f t="array" ref="G103">INDEX('Лист2'!$E$2:$E$505, MATCH(A103&amp;B103, 'Лист2'!$A$2:$A$505&amp;'Лист2'!$B$2:$B$505, 0))</f>
        <v>1993</v>
      </c>
      <c r="H103" s="9">
        <f t="shared" si="1"/>
        <v>1908.825</v>
      </c>
      <c r="I103" s="9">
        <f t="shared" si="2"/>
        <v>21</v>
      </c>
      <c r="J103" s="10">
        <f t="shared" si="3"/>
        <v>0.06822102859</v>
      </c>
    </row>
    <row r="104" ht="14.25" customHeight="1">
      <c r="A104" s="6">
        <v>43976.0</v>
      </c>
      <c r="B104" s="7" t="s">
        <v>14</v>
      </c>
      <c r="C104" s="7">
        <v>30603.0</v>
      </c>
      <c r="D104" s="7">
        <v>2865727.5</v>
      </c>
      <c r="E104" s="8">
        <f t="array" ref="E104">INDEX('Лист2'!$C$2:$C$505, MATCH(A104&amp;B104, 'Лист2'!$A$2:$A$505&amp;'Лист2'!$B$2:$B$505, 0))</f>
        <v>20</v>
      </c>
      <c r="F104" s="8">
        <f t="array" ref="F104">INDEX('Лист2'!$D$2:$D$505, MATCH(A104&amp;B104, 'Лист2'!$A$2:$A$505&amp;'Лист2'!$B$2:$B$505, 0))</f>
        <v>2011</v>
      </c>
      <c r="G104" s="8">
        <f t="array" ref="G104">INDEX('Лист2'!$E$2:$E$505, MATCH(A104&amp;B104, 'Лист2'!$A$2:$A$505&amp;'Лист2'!$B$2:$B$505, 0))</f>
        <v>1791</v>
      </c>
      <c r="H104" s="9">
        <f t="shared" si="1"/>
        <v>1530.15</v>
      </c>
      <c r="I104" s="9">
        <f t="shared" si="2"/>
        <v>22</v>
      </c>
      <c r="J104" s="10">
        <f t="shared" si="3"/>
        <v>0.05774929574</v>
      </c>
    </row>
    <row r="105" ht="14.25" customHeight="1">
      <c r="A105" s="11">
        <v>43951.0</v>
      </c>
      <c r="B105" s="12" t="s">
        <v>14</v>
      </c>
      <c r="C105" s="12">
        <v>24211.5</v>
      </c>
      <c r="D105" s="12">
        <v>2267664.0</v>
      </c>
      <c r="E105" s="8">
        <f t="array" ref="E105">INDEX('Лист2'!$C$2:$C$505, MATCH(A105&amp;B105, 'Лист2'!$A$2:$A$505&amp;'Лист2'!$B$2:$B$505, 0))</f>
        <v>19</v>
      </c>
      <c r="F105" s="8">
        <f t="array" ref="F105">INDEX('Лист2'!$D$2:$D$505, MATCH(A105&amp;B105, 'Лист2'!$A$2:$A$505&amp;'Лист2'!$B$2:$B$505, 0))</f>
        <v>1499</v>
      </c>
      <c r="G105" s="8">
        <f t="array" ref="G105">INDEX('Лист2'!$E$2:$E$505, MATCH(A105&amp;B105, 'Лист2'!$A$2:$A$505&amp;'Лист2'!$B$2:$B$505, 0))</f>
        <v>1322</v>
      </c>
      <c r="H105" s="9">
        <f t="shared" si="1"/>
        <v>1274.289474</v>
      </c>
      <c r="I105" s="9">
        <f t="shared" si="2"/>
        <v>18</v>
      </c>
      <c r="J105" s="10">
        <f t="shared" si="3"/>
        <v>0.0456972964</v>
      </c>
    </row>
    <row r="106" ht="14.25" customHeight="1">
      <c r="A106" s="6">
        <v>43961.0</v>
      </c>
      <c r="B106" s="7" t="s">
        <v>14</v>
      </c>
      <c r="C106" s="7">
        <v>31399.5</v>
      </c>
      <c r="D106" s="7">
        <v>2862298.5</v>
      </c>
      <c r="E106" s="8">
        <f t="array" ref="E106">INDEX('Лист2'!$C$2:$C$505, MATCH(A106&amp;B106, 'Лист2'!$A$2:$A$505&amp;'Лист2'!$B$2:$B$505, 0))</f>
        <v>19</v>
      </c>
      <c r="F106" s="8">
        <f t="array" ref="F106">INDEX('Лист2'!$D$2:$D$505, MATCH(A106&amp;B106, 'Лист2'!$A$2:$A$505&amp;'Лист2'!$B$2:$B$505, 0))</f>
        <v>1848</v>
      </c>
      <c r="G106" s="8">
        <f t="array" ref="G106">INDEX('Лист2'!$E$2:$E$505, MATCH(A106&amp;B106, 'Лист2'!$A$2:$A$505&amp;'Лист2'!$B$2:$B$505, 0))</f>
        <v>1649</v>
      </c>
      <c r="H106" s="9">
        <f t="shared" si="1"/>
        <v>1652.605263</v>
      </c>
      <c r="I106" s="9">
        <f t="shared" si="2"/>
        <v>19</v>
      </c>
      <c r="J106" s="10">
        <f t="shared" si="3"/>
        <v>0.05768019554</v>
      </c>
    </row>
    <row r="107" ht="14.25" customHeight="1">
      <c r="A107" s="11">
        <v>43959.0</v>
      </c>
      <c r="B107" s="12" t="s">
        <v>14</v>
      </c>
      <c r="C107" s="12">
        <v>25294.5</v>
      </c>
      <c r="D107" s="12">
        <v>2271454.5</v>
      </c>
      <c r="E107" s="8">
        <f t="array" ref="E107">INDEX('Лист2'!$C$2:$C$505, MATCH(A107&amp;B107, 'Лист2'!$A$2:$A$505&amp;'Лист2'!$B$2:$B$505, 0))</f>
        <v>19</v>
      </c>
      <c r="F107" s="8">
        <f t="array" ref="F107">INDEX('Лист2'!$D$2:$D$505, MATCH(A107&amp;B107, 'Лист2'!$A$2:$A$505&amp;'Лист2'!$B$2:$B$505, 0))</f>
        <v>1522</v>
      </c>
      <c r="G107" s="8">
        <f t="array" ref="G107">INDEX('Лист2'!$E$2:$E$505, MATCH(A107&amp;B107, 'Лист2'!$A$2:$A$505&amp;'Лист2'!$B$2:$B$505, 0))</f>
        <v>1340</v>
      </c>
      <c r="H107" s="9">
        <f t="shared" si="1"/>
        <v>1331.289474</v>
      </c>
      <c r="I107" s="9">
        <f t="shared" si="2"/>
        <v>19</v>
      </c>
      <c r="J107" s="10">
        <f t="shared" si="3"/>
        <v>0.04577368144</v>
      </c>
    </row>
    <row r="108" ht="14.25" customHeight="1">
      <c r="A108" s="6">
        <v>43958.0</v>
      </c>
      <c r="B108" s="7" t="s">
        <v>14</v>
      </c>
      <c r="C108" s="7">
        <v>25468.5</v>
      </c>
      <c r="D108" s="7">
        <v>2350672.5</v>
      </c>
      <c r="E108" s="8">
        <f t="array" ref="E108">INDEX('Лист2'!$C$2:$C$505, MATCH(A108&amp;B108, 'Лист2'!$A$2:$A$505&amp;'Лист2'!$B$2:$B$505, 0))</f>
        <v>19</v>
      </c>
      <c r="F108" s="8">
        <f t="array" ref="F108">INDEX('Лист2'!$D$2:$D$505, MATCH(A108&amp;B108, 'Лист2'!$A$2:$A$505&amp;'Лист2'!$B$2:$B$505, 0))</f>
        <v>1530</v>
      </c>
      <c r="G108" s="8">
        <f t="array" ref="G108">INDEX('Лист2'!$E$2:$E$505, MATCH(A108&amp;B108, 'Лист2'!$A$2:$A$505&amp;'Лист2'!$B$2:$B$505, 0))</f>
        <v>1338</v>
      </c>
      <c r="H108" s="9">
        <f t="shared" si="1"/>
        <v>1340.447368</v>
      </c>
      <c r="I108" s="9">
        <f t="shared" si="2"/>
        <v>19</v>
      </c>
      <c r="J108" s="10">
        <f t="shared" si="3"/>
        <v>0.04737005922</v>
      </c>
    </row>
    <row r="109" ht="14.25" customHeight="1">
      <c r="A109" s="11">
        <v>43975.0</v>
      </c>
      <c r="B109" s="12" t="s">
        <v>14</v>
      </c>
      <c r="C109" s="12">
        <v>31854.0</v>
      </c>
      <c r="D109" s="12">
        <v>2915533.5</v>
      </c>
      <c r="E109" s="8">
        <f t="array" ref="E109">INDEX('Лист2'!$C$2:$C$505, MATCH(A109&amp;B109, 'Лист2'!$A$2:$A$505&amp;'Лист2'!$B$2:$B$505, 0))</f>
        <v>20</v>
      </c>
      <c r="F109" s="8">
        <f t="array" ref="F109">INDEX('Лист2'!$D$2:$D$505, MATCH(A109&amp;B109, 'Лист2'!$A$2:$A$505&amp;'Лист2'!$B$2:$B$505, 0))</f>
        <v>2015</v>
      </c>
      <c r="G109" s="8">
        <f t="array" ref="G109">INDEX('Лист2'!$E$2:$E$505, MATCH(A109&amp;B109, 'Лист2'!$A$2:$A$505&amp;'Лист2'!$B$2:$B$505, 0))</f>
        <v>1803</v>
      </c>
      <c r="H109" s="9">
        <f t="shared" si="1"/>
        <v>1592.7</v>
      </c>
      <c r="I109" s="9">
        <f t="shared" si="2"/>
        <v>21</v>
      </c>
      <c r="J109" s="10">
        <f t="shared" si="3"/>
        <v>0.05875297157</v>
      </c>
    </row>
    <row r="110" ht="14.25" customHeight="1">
      <c r="A110" s="6">
        <v>43982.0</v>
      </c>
      <c r="B110" s="7" t="s">
        <v>14</v>
      </c>
      <c r="C110" s="7">
        <v>32359.5</v>
      </c>
      <c r="D110" s="7">
        <v>2991999.0</v>
      </c>
      <c r="E110" s="8">
        <f t="array" ref="E110">INDEX('Лист2'!$C$2:$C$505, MATCH(A110&amp;B110, 'Лист2'!$A$2:$A$505&amp;'Лист2'!$B$2:$B$505, 0))</f>
        <v>20</v>
      </c>
      <c r="F110" s="8">
        <f t="array" ref="F110">INDEX('Лист2'!$D$2:$D$505, MATCH(A110&amp;B110, 'Лист2'!$A$2:$A$505&amp;'Лист2'!$B$2:$B$505, 0))</f>
        <v>2060</v>
      </c>
      <c r="G110" s="8">
        <f t="array" ref="G110">INDEX('Лист2'!$E$2:$E$505, MATCH(A110&amp;B110, 'Лист2'!$A$2:$A$505&amp;'Лист2'!$B$2:$B$505, 0))</f>
        <v>1826</v>
      </c>
      <c r="H110" s="9">
        <f t="shared" si="1"/>
        <v>1617.975</v>
      </c>
      <c r="I110" s="9">
        <f t="shared" si="2"/>
        <v>22</v>
      </c>
      <c r="J110" s="10">
        <f t="shared" si="3"/>
        <v>0.06029388178</v>
      </c>
    </row>
    <row r="111" ht="14.25" customHeight="1">
      <c r="A111" s="11">
        <v>43981.0</v>
      </c>
      <c r="B111" s="12" t="s">
        <v>14</v>
      </c>
      <c r="C111" s="12">
        <v>39867.0</v>
      </c>
      <c r="D111" s="12">
        <v>3654166.5</v>
      </c>
      <c r="E111" s="8">
        <f t="array" ref="E111">INDEX('Лист2'!$C$2:$C$505, MATCH(A111&amp;B111, 'Лист2'!$A$2:$A$505&amp;'Лист2'!$B$2:$B$505, 0))</f>
        <v>20</v>
      </c>
      <c r="F111" s="8">
        <f t="array" ref="F111">INDEX('Лист2'!$D$2:$D$505, MATCH(A111&amp;B111, 'Лист2'!$A$2:$A$505&amp;'Лист2'!$B$2:$B$505, 0))</f>
        <v>2451</v>
      </c>
      <c r="G111" s="8">
        <f t="array" ref="G111">INDEX('Лист2'!$E$2:$E$505, MATCH(A111&amp;B111, 'Лист2'!$A$2:$A$505&amp;'Лист2'!$B$2:$B$505, 0))</f>
        <v>2178</v>
      </c>
      <c r="H111" s="9">
        <f t="shared" si="1"/>
        <v>1993.35</v>
      </c>
      <c r="I111" s="9">
        <f t="shared" si="2"/>
        <v>22</v>
      </c>
      <c r="J111" s="10">
        <f t="shared" si="3"/>
        <v>0.07363768603</v>
      </c>
    </row>
    <row r="112" ht="14.25" customHeight="1">
      <c r="A112" s="6">
        <v>43979.0</v>
      </c>
      <c r="B112" s="7" t="s">
        <v>14</v>
      </c>
      <c r="C112" s="7">
        <v>31974.0</v>
      </c>
      <c r="D112" s="7">
        <v>3004213.5</v>
      </c>
      <c r="E112" s="8">
        <f t="array" ref="E112">INDEX('Лист2'!$C$2:$C$505, MATCH(A112&amp;B112, 'Лист2'!$A$2:$A$505&amp;'Лист2'!$B$2:$B$505, 0))</f>
        <v>20</v>
      </c>
      <c r="F112" s="8">
        <f t="array" ref="F112">INDEX('Лист2'!$D$2:$D$505, MATCH(A112&amp;B112, 'Лист2'!$A$2:$A$505&amp;'Лист2'!$B$2:$B$505, 0))</f>
        <v>2088</v>
      </c>
      <c r="G112" s="8">
        <f t="array" ref="G112">INDEX('Лист2'!$E$2:$E$505, MATCH(A112&amp;B112, 'Лист2'!$A$2:$A$505&amp;'Лист2'!$B$2:$B$505, 0))</f>
        <v>1848</v>
      </c>
      <c r="H112" s="9">
        <f t="shared" si="1"/>
        <v>1598.7</v>
      </c>
      <c r="I112" s="9">
        <f t="shared" si="2"/>
        <v>22</v>
      </c>
      <c r="J112" s="10">
        <f t="shared" si="3"/>
        <v>0.06054002479</v>
      </c>
    </row>
    <row r="113" ht="14.25" customHeight="1">
      <c r="A113" s="11">
        <v>43967.0</v>
      </c>
      <c r="B113" s="12" t="s">
        <v>15</v>
      </c>
      <c r="C113" s="12">
        <v>321412.5</v>
      </c>
      <c r="D113" s="12">
        <v>3.2235864E7</v>
      </c>
      <c r="E113" s="8">
        <f t="array" ref="E113">INDEX('Лист2'!$C$2:$C$505, MATCH(A113&amp;B113, 'Лист2'!$A$2:$A$505&amp;'Лист2'!$B$2:$B$505, 0))</f>
        <v>129</v>
      </c>
      <c r="F113" s="8">
        <f t="array" ref="F113">INDEX('Лист2'!$D$2:$D$505, MATCH(A113&amp;B113, 'Лист2'!$A$2:$A$505&amp;'Лист2'!$B$2:$B$505, 0))</f>
        <v>17914</v>
      </c>
      <c r="G113" s="8">
        <f t="array" ref="G113">INDEX('Лист2'!$E$2:$E$505, MATCH(A113&amp;B113, 'Лист2'!$A$2:$A$505&amp;'Лист2'!$B$2:$B$505, 0))</f>
        <v>16631</v>
      </c>
      <c r="H113" s="9">
        <f t="shared" si="1"/>
        <v>2491.569767</v>
      </c>
      <c r="I113" s="9">
        <f t="shared" si="2"/>
        <v>20</v>
      </c>
      <c r="J113" s="10">
        <f t="shared" si="3"/>
        <v>0.6496076279</v>
      </c>
    </row>
    <row r="114" ht="14.25" customHeight="1">
      <c r="A114" s="6">
        <v>43970.0</v>
      </c>
      <c r="B114" s="7" t="s">
        <v>15</v>
      </c>
      <c r="C114" s="7">
        <v>276568.5</v>
      </c>
      <c r="D114" s="7">
        <v>2.7093624E7</v>
      </c>
      <c r="E114" s="8">
        <f t="array" ref="E114">INDEX('Лист2'!$C$2:$C$505, MATCH(A114&amp;B114, 'Лист2'!$A$2:$A$505&amp;'Лист2'!$B$2:$B$505, 0))</f>
        <v>129</v>
      </c>
      <c r="F114" s="8">
        <f t="array" ref="F114">INDEX('Лист2'!$D$2:$D$505, MATCH(A114&amp;B114, 'Лист2'!$A$2:$A$505&amp;'Лист2'!$B$2:$B$505, 0))</f>
        <v>16191</v>
      </c>
      <c r="G114" s="8">
        <f t="array" ref="G114">INDEX('Лист2'!$E$2:$E$505, MATCH(A114&amp;B114, 'Лист2'!$A$2:$A$505&amp;'Лист2'!$B$2:$B$505, 0))</f>
        <v>15102</v>
      </c>
      <c r="H114" s="9">
        <f t="shared" si="1"/>
        <v>2143.94186</v>
      </c>
      <c r="I114" s="9">
        <f t="shared" si="2"/>
        <v>21</v>
      </c>
      <c r="J114" s="10">
        <f t="shared" si="3"/>
        <v>0.5459827234</v>
      </c>
    </row>
    <row r="115" ht="14.25" customHeight="1">
      <c r="A115" s="11">
        <v>43968.0</v>
      </c>
      <c r="B115" s="12" t="s">
        <v>15</v>
      </c>
      <c r="C115" s="12">
        <v>269029.5</v>
      </c>
      <c r="D115" s="12">
        <v>2.66599305E7</v>
      </c>
      <c r="E115" s="8">
        <f t="array" ref="E115">INDEX('Лист2'!$C$2:$C$505, MATCH(A115&amp;B115, 'Лист2'!$A$2:$A$505&amp;'Лист2'!$B$2:$B$505, 0))</f>
        <v>129</v>
      </c>
      <c r="F115" s="8">
        <f t="array" ref="F115">INDEX('Лист2'!$D$2:$D$505, MATCH(A115&amp;B115, 'Лист2'!$A$2:$A$505&amp;'Лист2'!$B$2:$B$505, 0))</f>
        <v>15744</v>
      </c>
      <c r="G115" s="8">
        <f t="array" ref="G115">INDEX('Лист2'!$E$2:$E$505, MATCH(A115&amp;B115, 'Лист2'!$A$2:$A$505&amp;'Лист2'!$B$2:$B$505, 0))</f>
        <v>14685</v>
      </c>
      <c r="H115" s="9">
        <f t="shared" si="1"/>
        <v>2085.5</v>
      </c>
      <c r="I115" s="9">
        <f t="shared" si="2"/>
        <v>20</v>
      </c>
      <c r="J115" s="10">
        <f t="shared" si="3"/>
        <v>0.5372430599</v>
      </c>
    </row>
    <row r="116" ht="14.25" customHeight="1">
      <c r="A116" s="6">
        <v>43960.0</v>
      </c>
      <c r="B116" s="7" t="s">
        <v>15</v>
      </c>
      <c r="C116" s="7">
        <v>285972.0</v>
      </c>
      <c r="D116" s="7">
        <v>2.9768199E7</v>
      </c>
      <c r="E116" s="8">
        <f t="array" ref="E116">INDEX('Лист2'!$C$2:$C$505, MATCH(A116&amp;B116, 'Лист2'!$A$2:$A$505&amp;'Лист2'!$B$2:$B$505, 0))</f>
        <v>129</v>
      </c>
      <c r="F116" s="8">
        <f t="array" ref="F116">INDEX('Лист2'!$D$2:$D$505, MATCH(A116&amp;B116, 'Лист2'!$A$2:$A$505&amp;'Лист2'!$B$2:$B$505, 0))</f>
        <v>16420</v>
      </c>
      <c r="G116" s="8">
        <f t="array" ref="G116">INDEX('Лист2'!$E$2:$E$505, MATCH(A116&amp;B116, 'Лист2'!$A$2:$A$505&amp;'Лист2'!$B$2:$B$505, 0))</f>
        <v>15169</v>
      </c>
      <c r="H116" s="9">
        <f t="shared" si="1"/>
        <v>2216.837209</v>
      </c>
      <c r="I116" s="9">
        <f t="shared" si="2"/>
        <v>19</v>
      </c>
      <c r="J116" s="10">
        <f t="shared" si="3"/>
        <v>0.5998799704</v>
      </c>
    </row>
    <row r="117" ht="14.25" customHeight="1">
      <c r="A117" s="11">
        <v>43955.0</v>
      </c>
      <c r="B117" s="12" t="s">
        <v>15</v>
      </c>
      <c r="C117" s="12">
        <v>283942.5</v>
      </c>
      <c r="D117" s="12">
        <v>2.935794E7</v>
      </c>
      <c r="E117" s="8">
        <f t="array" ref="E117">INDEX('Лист2'!$C$2:$C$505, MATCH(A117&amp;B117, 'Лист2'!$A$2:$A$505&amp;'Лист2'!$B$2:$B$505, 0))</f>
        <v>129</v>
      </c>
      <c r="F117" s="8">
        <f t="array" ref="F117">INDEX('Лист2'!$D$2:$D$505, MATCH(A117&amp;B117, 'Лист2'!$A$2:$A$505&amp;'Лист2'!$B$2:$B$505, 0))</f>
        <v>16525</v>
      </c>
      <c r="G117" s="8">
        <f t="array" ref="G117">INDEX('Лист2'!$E$2:$E$505, MATCH(A117&amp;B117, 'Лист2'!$A$2:$A$505&amp;'Лист2'!$B$2:$B$505, 0))</f>
        <v>15310</v>
      </c>
      <c r="H117" s="9">
        <f t="shared" si="1"/>
        <v>2201.104651</v>
      </c>
      <c r="I117" s="9">
        <f t="shared" si="2"/>
        <v>19</v>
      </c>
      <c r="J117" s="10">
        <f t="shared" si="3"/>
        <v>0.5916125519</v>
      </c>
    </row>
    <row r="118" ht="14.25" customHeight="1">
      <c r="A118" s="6">
        <v>43950.0</v>
      </c>
      <c r="B118" s="7" t="s">
        <v>15</v>
      </c>
      <c r="C118" s="7">
        <v>298059.0</v>
      </c>
      <c r="D118" s="7">
        <v>3.08692875E7</v>
      </c>
      <c r="E118" s="8">
        <f t="array" ref="E118">INDEX('Лист2'!$C$2:$C$505, MATCH(A118&amp;B118, 'Лист2'!$A$2:$A$505&amp;'Лист2'!$B$2:$B$505, 0))</f>
        <v>128</v>
      </c>
      <c r="F118" s="8">
        <f t="array" ref="F118">INDEX('Лист2'!$D$2:$D$505, MATCH(A118&amp;B118, 'Лист2'!$A$2:$A$505&amp;'Лист2'!$B$2:$B$505, 0))</f>
        <v>17368</v>
      </c>
      <c r="G118" s="8">
        <f t="array" ref="G118">INDEX('Лист2'!$E$2:$E$505, MATCH(A118&amp;B118, 'Лист2'!$A$2:$A$505&amp;'Лист2'!$B$2:$B$505, 0))</f>
        <v>16077</v>
      </c>
      <c r="H118" s="9">
        <f t="shared" si="1"/>
        <v>2328.585938</v>
      </c>
      <c r="I118" s="9">
        <f t="shared" si="2"/>
        <v>18</v>
      </c>
      <c r="J118" s="10">
        <f t="shared" si="3"/>
        <v>0.6220687812</v>
      </c>
    </row>
    <row r="119" ht="14.25" customHeight="1">
      <c r="A119" s="11">
        <v>43953.0</v>
      </c>
      <c r="B119" s="12" t="s">
        <v>15</v>
      </c>
      <c r="C119" s="12">
        <v>232903.5</v>
      </c>
      <c r="D119" s="12">
        <v>2.43420165E7</v>
      </c>
      <c r="E119" s="8">
        <f t="array" ref="E119">INDEX('Лист2'!$C$2:$C$505, MATCH(A119&amp;B119, 'Лист2'!$A$2:$A$505&amp;'Лист2'!$B$2:$B$505, 0))</f>
        <v>129</v>
      </c>
      <c r="F119" s="8">
        <f t="array" ref="F119">INDEX('Лист2'!$D$2:$D$505, MATCH(A119&amp;B119, 'Лист2'!$A$2:$A$505&amp;'Лист2'!$B$2:$B$505, 0))</f>
        <v>14009</v>
      </c>
      <c r="G119" s="8">
        <f t="array" ref="G119">INDEX('Лист2'!$E$2:$E$505, MATCH(A119&amp;B119, 'Лист2'!$A$2:$A$505&amp;'Лист2'!$B$2:$B$505, 0))</f>
        <v>12920</v>
      </c>
      <c r="H119" s="9">
        <f t="shared" si="1"/>
        <v>1805.453488</v>
      </c>
      <c r="I119" s="9">
        <f t="shared" si="2"/>
        <v>18</v>
      </c>
      <c r="J119" s="10">
        <f t="shared" si="3"/>
        <v>0.4905331403</v>
      </c>
    </row>
    <row r="120" ht="14.25" customHeight="1">
      <c r="A120" s="6">
        <v>43977.0</v>
      </c>
      <c r="B120" s="7" t="s">
        <v>15</v>
      </c>
      <c r="C120" s="7">
        <v>276966.0</v>
      </c>
      <c r="D120" s="7">
        <v>2.787261789885E7</v>
      </c>
      <c r="E120" s="8">
        <f t="array" ref="E120">INDEX('Лист2'!$C$2:$C$505, MATCH(A120&amp;B120, 'Лист2'!$A$2:$A$505&amp;'Лист2'!$B$2:$B$505, 0))</f>
        <v>129</v>
      </c>
      <c r="F120" s="8">
        <f t="array" ref="F120">INDEX('Лист2'!$D$2:$D$505, MATCH(A120&amp;B120, 'Лист2'!$A$2:$A$505&amp;'Лист2'!$B$2:$B$505, 0))</f>
        <v>16459</v>
      </c>
      <c r="G120" s="8">
        <f t="array" ref="G120">INDEX('Лист2'!$E$2:$E$505, MATCH(A120&amp;B120, 'Лист2'!$A$2:$A$505&amp;'Лист2'!$B$2:$B$505, 0))</f>
        <v>15355</v>
      </c>
      <c r="H120" s="9">
        <f t="shared" si="1"/>
        <v>2147.023256</v>
      </c>
      <c r="I120" s="9">
        <f t="shared" si="2"/>
        <v>22</v>
      </c>
      <c r="J120" s="10">
        <f t="shared" si="3"/>
        <v>0.5616807788</v>
      </c>
    </row>
    <row r="121" ht="14.25" customHeight="1">
      <c r="A121" s="11">
        <v>43952.0</v>
      </c>
      <c r="B121" s="12" t="s">
        <v>15</v>
      </c>
      <c r="C121" s="12">
        <v>296149.5</v>
      </c>
      <c r="D121" s="12">
        <v>3.10533165E7</v>
      </c>
      <c r="E121" s="8">
        <f t="array" ref="E121">INDEX('Лист2'!$C$2:$C$505, MATCH(A121&amp;B121, 'Лист2'!$A$2:$A$505&amp;'Лист2'!$B$2:$B$505, 0))</f>
        <v>129</v>
      </c>
      <c r="F121" s="8">
        <f t="array" ref="F121">INDEX('Лист2'!$D$2:$D$505, MATCH(A121&amp;B121, 'Лист2'!$A$2:$A$505&amp;'Лист2'!$B$2:$B$505, 0))</f>
        <v>17002</v>
      </c>
      <c r="G121" s="8">
        <f t="array" ref="G121">INDEX('Лист2'!$E$2:$E$505, MATCH(A121&amp;B121, 'Лист2'!$A$2:$A$505&amp;'Лист2'!$B$2:$B$505, 0))</f>
        <v>15570</v>
      </c>
      <c r="H121" s="9">
        <f t="shared" si="1"/>
        <v>2295.732558</v>
      </c>
      <c r="I121" s="9">
        <f t="shared" si="2"/>
        <v>18</v>
      </c>
      <c r="J121" s="10">
        <f t="shared" si="3"/>
        <v>0.6257772793</v>
      </c>
    </row>
    <row r="122" ht="14.25" customHeight="1">
      <c r="A122" s="6">
        <v>43963.0</v>
      </c>
      <c r="B122" s="7" t="s">
        <v>15</v>
      </c>
      <c r="C122" s="7">
        <v>281796.0</v>
      </c>
      <c r="D122" s="7">
        <v>2.904252E7</v>
      </c>
      <c r="E122" s="8">
        <f t="array" ref="E122">INDEX('Лист2'!$C$2:$C$505, MATCH(A122&amp;B122, 'Лист2'!$A$2:$A$505&amp;'Лист2'!$B$2:$B$505, 0))</f>
        <v>129</v>
      </c>
      <c r="F122" s="8">
        <f t="array" ref="F122">INDEX('Лист2'!$D$2:$D$505, MATCH(A122&amp;B122, 'Лист2'!$A$2:$A$505&amp;'Лист2'!$B$2:$B$505, 0))</f>
        <v>16387</v>
      </c>
      <c r="G122" s="8">
        <f t="array" ref="G122">INDEX('Лист2'!$E$2:$E$505, MATCH(A122&amp;B122, 'Лист2'!$A$2:$A$505&amp;'Лист2'!$B$2:$B$505, 0))</f>
        <v>15322</v>
      </c>
      <c r="H122" s="9">
        <f t="shared" si="1"/>
        <v>2184.465116</v>
      </c>
      <c r="I122" s="9">
        <f t="shared" si="2"/>
        <v>20</v>
      </c>
      <c r="J122" s="10">
        <f t="shared" si="3"/>
        <v>0.5852563011</v>
      </c>
    </row>
    <row r="123" ht="14.25" customHeight="1">
      <c r="A123" s="11">
        <v>43972.0</v>
      </c>
      <c r="B123" s="12" t="s">
        <v>15</v>
      </c>
      <c r="C123" s="12">
        <v>288936.0</v>
      </c>
      <c r="D123" s="12">
        <v>2.78529E7</v>
      </c>
      <c r="E123" s="8">
        <f t="array" ref="E123">INDEX('Лист2'!$C$2:$C$505, MATCH(A123&amp;B123, 'Лист2'!$A$2:$A$505&amp;'Лист2'!$B$2:$B$505, 0))</f>
        <v>129</v>
      </c>
      <c r="F123" s="8">
        <f t="array" ref="F123">INDEX('Лист2'!$D$2:$D$505, MATCH(A123&amp;B123, 'Лист2'!$A$2:$A$505&amp;'Лист2'!$B$2:$B$505, 0))</f>
        <v>16373</v>
      </c>
      <c r="G123" s="8">
        <f t="array" ref="G123">INDEX('Лист2'!$E$2:$E$505, MATCH(A123&amp;B123, 'Лист2'!$A$2:$A$505&amp;'Лист2'!$B$2:$B$505, 0))</f>
        <v>15223</v>
      </c>
      <c r="H123" s="9">
        <f t="shared" si="1"/>
        <v>2239.813953</v>
      </c>
      <c r="I123" s="9">
        <f t="shared" si="2"/>
        <v>21</v>
      </c>
      <c r="J123" s="10">
        <f t="shared" si="3"/>
        <v>0.5612834295</v>
      </c>
    </row>
    <row r="124" ht="14.25" customHeight="1">
      <c r="A124" s="6">
        <v>43971.0</v>
      </c>
      <c r="B124" s="7" t="s">
        <v>15</v>
      </c>
      <c r="C124" s="7">
        <v>300151.5</v>
      </c>
      <c r="D124" s="7">
        <v>2.936877161745E7</v>
      </c>
      <c r="E124" s="8">
        <f t="array" ref="E124">INDEX('Лист2'!$C$2:$C$505, MATCH(A124&amp;B124, 'Лист2'!$A$2:$A$505&amp;'Лист2'!$B$2:$B$505, 0))</f>
        <v>129</v>
      </c>
      <c r="F124" s="8">
        <f t="array" ref="F124">INDEX('Лист2'!$D$2:$D$505, MATCH(A124&amp;B124, 'Лист2'!$A$2:$A$505&amp;'Лист2'!$B$2:$B$505, 0))</f>
        <v>17095</v>
      </c>
      <c r="G124" s="8">
        <f t="array" ref="G124">INDEX('Лист2'!$E$2:$E$505, MATCH(A124&amp;B124, 'Лист2'!$A$2:$A$505&amp;'Лист2'!$B$2:$B$505, 0))</f>
        <v>15919</v>
      </c>
      <c r="H124" s="9">
        <f t="shared" si="1"/>
        <v>2326.755814</v>
      </c>
      <c r="I124" s="9">
        <f t="shared" si="2"/>
        <v>21</v>
      </c>
      <c r="J124" s="10">
        <f t="shared" si="3"/>
        <v>0.5918308275</v>
      </c>
    </row>
    <row r="125" ht="14.25" customHeight="1">
      <c r="A125" s="11">
        <v>43956.0</v>
      </c>
      <c r="B125" s="12" t="s">
        <v>15</v>
      </c>
      <c r="C125" s="12">
        <v>262734.0</v>
      </c>
      <c r="D125" s="12">
        <v>2.7278441145E7</v>
      </c>
      <c r="E125" s="8">
        <f t="array" ref="E125">INDEX('Лист2'!$C$2:$C$505, MATCH(A125&amp;B125, 'Лист2'!$A$2:$A$505&amp;'Лист2'!$B$2:$B$505, 0))</f>
        <v>129</v>
      </c>
      <c r="F125" s="8">
        <f t="array" ref="F125">INDEX('Лист2'!$D$2:$D$505, MATCH(A125&amp;B125, 'Лист2'!$A$2:$A$505&amp;'Лист2'!$B$2:$B$505, 0))</f>
        <v>15665</v>
      </c>
      <c r="G125" s="8">
        <f t="array" ref="G125">INDEX('Лист2'!$E$2:$E$505, MATCH(A125&amp;B125, 'Лист2'!$A$2:$A$505&amp;'Лист2'!$B$2:$B$505, 0))</f>
        <v>14501</v>
      </c>
      <c r="H125" s="9">
        <f t="shared" si="1"/>
        <v>2036.697674</v>
      </c>
      <c r="I125" s="9">
        <f t="shared" si="2"/>
        <v>19</v>
      </c>
      <c r="J125" s="10">
        <f t="shared" si="3"/>
        <v>0.5497071041</v>
      </c>
    </row>
    <row r="126" ht="14.25" customHeight="1">
      <c r="A126" s="6">
        <v>43949.0</v>
      </c>
      <c r="B126" s="7" t="s">
        <v>15</v>
      </c>
      <c r="C126" s="7">
        <v>286002.0</v>
      </c>
      <c r="D126" s="7">
        <v>2.91590325E7</v>
      </c>
      <c r="E126" s="8">
        <f t="array" ref="E126">INDEX('Лист2'!$C$2:$C$505, MATCH(A126&amp;B126, 'Лист2'!$A$2:$A$505&amp;'Лист2'!$B$2:$B$505, 0))</f>
        <v>128</v>
      </c>
      <c r="F126" s="8">
        <f t="array" ref="F126">INDEX('Лист2'!$D$2:$D$505, MATCH(A126&amp;B126, 'Лист2'!$A$2:$A$505&amp;'Лист2'!$B$2:$B$505, 0))</f>
        <v>16450</v>
      </c>
      <c r="G126" s="8">
        <f t="array" ref="G126">INDEX('Лист2'!$E$2:$E$505, MATCH(A126&amp;B126, 'Лист2'!$A$2:$A$505&amp;'Лист2'!$B$2:$B$505, 0))</f>
        <v>15320</v>
      </c>
      <c r="H126" s="9">
        <f t="shared" si="1"/>
        <v>2234.390625</v>
      </c>
      <c r="I126" s="9">
        <f t="shared" si="2"/>
        <v>18</v>
      </c>
      <c r="J126" s="10">
        <f t="shared" si="3"/>
        <v>0.5876042266</v>
      </c>
    </row>
    <row r="127" ht="14.25" customHeight="1">
      <c r="A127" s="11">
        <v>43964.0</v>
      </c>
      <c r="B127" s="12" t="s">
        <v>15</v>
      </c>
      <c r="C127" s="12">
        <v>258459.0</v>
      </c>
      <c r="D127" s="12">
        <v>2.64674535E7</v>
      </c>
      <c r="E127" s="8">
        <f t="array" ref="E127">INDEX('Лист2'!$C$2:$C$505, MATCH(A127&amp;B127, 'Лист2'!$A$2:$A$505&amp;'Лист2'!$B$2:$B$505, 0))</f>
        <v>129</v>
      </c>
      <c r="F127" s="8">
        <f t="array" ref="F127">INDEX('Лист2'!$D$2:$D$505, MATCH(A127&amp;B127, 'Лист2'!$A$2:$A$505&amp;'Лист2'!$B$2:$B$505, 0))</f>
        <v>15304</v>
      </c>
      <c r="G127" s="8">
        <f t="array" ref="G127">INDEX('Лист2'!$E$2:$E$505, MATCH(A127&amp;B127, 'Лист2'!$A$2:$A$505&amp;'Лист2'!$B$2:$B$505, 0))</f>
        <v>14315</v>
      </c>
      <c r="H127" s="9">
        <f t="shared" si="1"/>
        <v>2003.55814</v>
      </c>
      <c r="I127" s="9">
        <f t="shared" si="2"/>
        <v>20</v>
      </c>
      <c r="J127" s="10">
        <f t="shared" si="3"/>
        <v>0.5333643201</v>
      </c>
    </row>
    <row r="128" ht="14.25" customHeight="1">
      <c r="A128" s="6">
        <v>43954.0</v>
      </c>
      <c r="B128" s="7" t="s">
        <v>15</v>
      </c>
      <c r="C128" s="7">
        <v>274083.0</v>
      </c>
      <c r="D128" s="7">
        <v>2.8427001E7</v>
      </c>
      <c r="E128" s="8">
        <f t="array" ref="E128">INDEX('Лист2'!$C$2:$C$505, MATCH(A128&amp;B128, 'Лист2'!$A$2:$A$505&amp;'Лист2'!$B$2:$B$505, 0))</f>
        <v>129</v>
      </c>
      <c r="F128" s="8">
        <f t="array" ref="F128">INDEX('Лист2'!$D$2:$D$505, MATCH(A128&amp;B128, 'Лист2'!$A$2:$A$505&amp;'Лист2'!$B$2:$B$505, 0))</f>
        <v>15778</v>
      </c>
      <c r="G128" s="8">
        <f t="array" ref="G128">INDEX('Лист2'!$E$2:$E$505, MATCH(A128&amp;B128, 'Лист2'!$A$2:$A$505&amp;'Лист2'!$B$2:$B$505, 0))</f>
        <v>14624</v>
      </c>
      <c r="H128" s="9">
        <f t="shared" si="1"/>
        <v>2124.674419</v>
      </c>
      <c r="I128" s="9">
        <f t="shared" si="2"/>
        <v>18</v>
      </c>
      <c r="J128" s="10">
        <f t="shared" si="3"/>
        <v>0.5728525437</v>
      </c>
    </row>
    <row r="129" ht="14.25" customHeight="1">
      <c r="A129" s="11">
        <v>43957.0</v>
      </c>
      <c r="B129" s="12" t="s">
        <v>15</v>
      </c>
      <c r="C129" s="12">
        <v>277512.0</v>
      </c>
      <c r="D129" s="12">
        <v>2.87708101056E7</v>
      </c>
      <c r="E129" s="8">
        <f t="array" ref="E129">INDEX('Лист2'!$C$2:$C$505, MATCH(A129&amp;B129, 'Лист2'!$A$2:$A$505&amp;'Лист2'!$B$2:$B$505, 0))</f>
        <v>129</v>
      </c>
      <c r="F129" s="8">
        <f t="array" ref="F129">INDEX('Лист2'!$D$2:$D$505, MATCH(A129&amp;B129, 'Лист2'!$A$2:$A$505&amp;'Лист2'!$B$2:$B$505, 0))</f>
        <v>16376</v>
      </c>
      <c r="G129" s="8">
        <f t="array" ref="G129">INDEX('Лист2'!$E$2:$E$505, MATCH(A129&amp;B129, 'Лист2'!$A$2:$A$505&amp;'Лист2'!$B$2:$B$505, 0))</f>
        <v>15197</v>
      </c>
      <c r="H129" s="9">
        <f t="shared" si="1"/>
        <v>2151.255814</v>
      </c>
      <c r="I129" s="9">
        <f t="shared" si="2"/>
        <v>19</v>
      </c>
      <c r="J129" s="10">
        <f t="shared" si="3"/>
        <v>0.5797808834</v>
      </c>
    </row>
    <row r="130" ht="14.25" customHeight="1">
      <c r="A130" s="6">
        <v>43974.0</v>
      </c>
      <c r="B130" s="7" t="s">
        <v>15</v>
      </c>
      <c r="C130" s="7">
        <v>356982.0</v>
      </c>
      <c r="D130" s="7">
        <v>3.510392671155E7</v>
      </c>
      <c r="E130" s="8">
        <f t="array" ref="E130">INDEX('Лист2'!$C$2:$C$505, MATCH(A130&amp;B130, 'Лист2'!$A$2:$A$505&amp;'Лист2'!$B$2:$B$505, 0))</f>
        <v>129</v>
      </c>
      <c r="F130" s="8">
        <f t="array" ref="F130">INDEX('Лист2'!$D$2:$D$505, MATCH(A130&amp;B130, 'Лист2'!$A$2:$A$505&amp;'Лист2'!$B$2:$B$505, 0))</f>
        <v>19856</v>
      </c>
      <c r="G130" s="8">
        <f t="array" ref="G130">INDEX('Лист2'!$E$2:$E$505, MATCH(A130&amp;B130, 'Лист2'!$A$2:$A$505&amp;'Лист2'!$B$2:$B$505, 0))</f>
        <v>18325</v>
      </c>
      <c r="H130" s="9">
        <f t="shared" si="1"/>
        <v>2767.302326</v>
      </c>
      <c r="I130" s="9">
        <f t="shared" si="2"/>
        <v>21</v>
      </c>
      <c r="J130" s="10">
        <f t="shared" si="3"/>
        <v>0.7074039822</v>
      </c>
    </row>
    <row r="131" ht="14.25" customHeight="1">
      <c r="A131" s="11">
        <v>43976.0</v>
      </c>
      <c r="B131" s="12" t="s">
        <v>15</v>
      </c>
      <c r="C131" s="12">
        <v>266983.5</v>
      </c>
      <c r="D131" s="12">
        <v>2.71659135E7</v>
      </c>
      <c r="E131" s="8">
        <f t="array" ref="E131">INDEX('Лист2'!$C$2:$C$505, MATCH(A131&amp;B131, 'Лист2'!$A$2:$A$505&amp;'Лист2'!$B$2:$B$505, 0))</f>
        <v>129</v>
      </c>
      <c r="F131" s="8">
        <f t="array" ref="F131">INDEX('Лист2'!$D$2:$D$505, MATCH(A131&amp;B131, 'Лист2'!$A$2:$A$505&amp;'Лист2'!$B$2:$B$505, 0))</f>
        <v>15822</v>
      </c>
      <c r="G131" s="8">
        <f t="array" ref="G131">INDEX('Лист2'!$E$2:$E$505, MATCH(A131&amp;B131, 'Лист2'!$A$2:$A$505&amp;'Лист2'!$B$2:$B$505, 0))</f>
        <v>14753</v>
      </c>
      <c r="H131" s="9">
        <f t="shared" si="1"/>
        <v>2069.639535</v>
      </c>
      <c r="I131" s="9">
        <f t="shared" si="2"/>
        <v>22</v>
      </c>
      <c r="J131" s="10">
        <f t="shared" si="3"/>
        <v>0.5474394801</v>
      </c>
    </row>
    <row r="132" ht="14.25" customHeight="1">
      <c r="A132" s="6">
        <v>43951.0</v>
      </c>
      <c r="B132" s="7" t="s">
        <v>15</v>
      </c>
      <c r="C132" s="7">
        <v>311131.5</v>
      </c>
      <c r="D132" s="7">
        <v>3.2418879E7</v>
      </c>
      <c r="E132" s="8">
        <f t="array" ref="E132">INDEX('Лист2'!$C$2:$C$505, MATCH(A132&amp;B132, 'Лист2'!$A$2:$A$505&amp;'Лист2'!$B$2:$B$505, 0))</f>
        <v>129</v>
      </c>
      <c r="F132" s="8">
        <f t="array" ref="F132">INDEX('Лист2'!$D$2:$D$505, MATCH(A132&amp;B132, 'Лист2'!$A$2:$A$505&amp;'Лист2'!$B$2:$B$505, 0))</f>
        <v>18042</v>
      </c>
      <c r="G132" s="8">
        <f t="array" ref="G132">INDEX('Лист2'!$E$2:$E$505, MATCH(A132&amp;B132, 'Лист2'!$A$2:$A$505&amp;'Лист2'!$B$2:$B$505, 0))</f>
        <v>16631</v>
      </c>
      <c r="H132" s="9">
        <f t="shared" si="1"/>
        <v>2411.872093</v>
      </c>
      <c r="I132" s="9">
        <f t="shared" si="2"/>
        <v>18</v>
      </c>
      <c r="J132" s="10">
        <f t="shared" si="3"/>
        <v>0.6532956923</v>
      </c>
    </row>
    <row r="133" ht="14.25" customHeight="1">
      <c r="A133" s="11">
        <v>43961.0</v>
      </c>
      <c r="B133" s="12" t="s">
        <v>15</v>
      </c>
      <c r="C133" s="12">
        <v>287206.5</v>
      </c>
      <c r="D133" s="12">
        <v>2.953617610605E7</v>
      </c>
      <c r="E133" s="8">
        <f t="array" ref="E133">INDEX('Лист2'!$C$2:$C$505, MATCH(A133&amp;B133, 'Лист2'!$A$2:$A$505&amp;'Лист2'!$B$2:$B$505, 0))</f>
        <v>129</v>
      </c>
      <c r="F133" s="8">
        <f t="array" ref="F133">INDEX('Лист2'!$D$2:$D$505, MATCH(A133&amp;B133, 'Лист2'!$A$2:$A$505&amp;'Лист2'!$B$2:$B$505, 0))</f>
        <v>16437</v>
      </c>
      <c r="G133" s="8">
        <f t="array" ref="G133">INDEX('Лист2'!$E$2:$E$505, MATCH(A133&amp;B133, 'Лист2'!$A$2:$A$505&amp;'Лист2'!$B$2:$B$505, 0))</f>
        <v>15285</v>
      </c>
      <c r="H133" s="9">
        <f t="shared" si="1"/>
        <v>2226.406977</v>
      </c>
      <c r="I133" s="9">
        <f t="shared" si="2"/>
        <v>19</v>
      </c>
      <c r="J133" s="10">
        <f t="shared" si="3"/>
        <v>0.5952043134</v>
      </c>
    </row>
    <row r="134" ht="14.25" customHeight="1">
      <c r="A134" s="6">
        <v>43959.0</v>
      </c>
      <c r="B134" s="7" t="s">
        <v>15</v>
      </c>
      <c r="C134" s="7">
        <v>370092.0</v>
      </c>
      <c r="D134" s="7">
        <v>3.80915565E7</v>
      </c>
      <c r="E134" s="8">
        <f t="array" ref="E134">INDEX('Лист2'!$C$2:$C$505, MATCH(A134&amp;B134, 'Лист2'!$A$2:$A$505&amp;'Лист2'!$B$2:$B$505, 0))</f>
        <v>129</v>
      </c>
      <c r="F134" s="8">
        <f t="array" ref="F134">INDEX('Лист2'!$D$2:$D$505, MATCH(A134&amp;B134, 'Лист2'!$A$2:$A$505&amp;'Лист2'!$B$2:$B$505, 0))</f>
        <v>20452</v>
      </c>
      <c r="G134" s="8">
        <f t="array" ref="G134">INDEX('Лист2'!$E$2:$E$505, MATCH(A134&amp;B134, 'Лист2'!$A$2:$A$505&amp;'Лист2'!$B$2:$B$505, 0))</f>
        <v>18857</v>
      </c>
      <c r="H134" s="9">
        <f t="shared" si="1"/>
        <v>2868.930233</v>
      </c>
      <c r="I134" s="9">
        <f t="shared" si="2"/>
        <v>19</v>
      </c>
      <c r="J134" s="10">
        <f t="shared" si="3"/>
        <v>0.7676098169</v>
      </c>
    </row>
    <row r="135" ht="14.25" customHeight="1">
      <c r="A135" s="11">
        <v>43958.0</v>
      </c>
      <c r="B135" s="12" t="s">
        <v>15</v>
      </c>
      <c r="C135" s="12">
        <v>247813.5</v>
      </c>
      <c r="D135" s="12">
        <v>2.5325271E7</v>
      </c>
      <c r="E135" s="8">
        <f t="array" ref="E135">INDEX('Лист2'!$C$2:$C$505, MATCH(A135&amp;B135, 'Лист2'!$A$2:$A$505&amp;'Лист2'!$B$2:$B$505, 0))</f>
        <v>129</v>
      </c>
      <c r="F135" s="8">
        <f t="array" ref="F135">INDEX('Лист2'!$D$2:$D$505, MATCH(A135&amp;B135, 'Лист2'!$A$2:$A$505&amp;'Лист2'!$B$2:$B$505, 0))</f>
        <v>14582</v>
      </c>
      <c r="G135" s="8">
        <f t="array" ref="G135">INDEX('Лист2'!$E$2:$E$505, MATCH(A135&amp;B135, 'Лист2'!$A$2:$A$505&amp;'Лист2'!$B$2:$B$505, 0))</f>
        <v>13512</v>
      </c>
      <c r="H135" s="9">
        <f t="shared" si="1"/>
        <v>1921.034884</v>
      </c>
      <c r="I135" s="9">
        <f t="shared" si="2"/>
        <v>19</v>
      </c>
      <c r="J135" s="10">
        <f t="shared" si="3"/>
        <v>0.5103473951</v>
      </c>
    </row>
    <row r="136" ht="14.25" customHeight="1">
      <c r="A136" s="6">
        <v>43975.0</v>
      </c>
      <c r="B136" s="7" t="s">
        <v>15</v>
      </c>
      <c r="C136" s="7">
        <v>287740.5</v>
      </c>
      <c r="D136" s="7">
        <v>2.8188534E7</v>
      </c>
      <c r="E136" s="8">
        <f t="array" ref="E136">INDEX('Лист2'!$C$2:$C$505, MATCH(A136&amp;B136, 'Лист2'!$A$2:$A$505&amp;'Лист2'!$B$2:$B$505, 0))</f>
        <v>129</v>
      </c>
      <c r="F136" s="8">
        <f t="array" ref="F136">INDEX('Лист2'!$D$2:$D$505, MATCH(A136&amp;B136, 'Лист2'!$A$2:$A$505&amp;'Лист2'!$B$2:$B$505, 0))</f>
        <v>16432</v>
      </c>
      <c r="G136" s="8">
        <f t="array" ref="G136">INDEX('Лист2'!$E$2:$E$505, MATCH(A136&amp;B136, 'Лист2'!$A$2:$A$505&amp;'Лист2'!$B$2:$B$505, 0))</f>
        <v>15345</v>
      </c>
      <c r="H136" s="9">
        <f t="shared" si="1"/>
        <v>2230.546512</v>
      </c>
      <c r="I136" s="9">
        <f t="shared" si="2"/>
        <v>21</v>
      </c>
      <c r="J136" s="10">
        <f t="shared" si="3"/>
        <v>0.568047027</v>
      </c>
    </row>
    <row r="137" ht="14.25" customHeight="1">
      <c r="A137" s="11">
        <v>43967.0</v>
      </c>
      <c r="B137" s="12" t="s">
        <v>16</v>
      </c>
      <c r="C137" s="12">
        <v>408810.0</v>
      </c>
      <c r="D137" s="12">
        <v>4.2323631E7</v>
      </c>
      <c r="E137" s="8">
        <f t="array" ref="E137">INDEX('Лист2'!$C$2:$C$505, MATCH(A137&amp;B137, 'Лист2'!$A$2:$A$505&amp;'Лист2'!$B$2:$B$505, 0))</f>
        <v>125</v>
      </c>
      <c r="F137" s="8">
        <f t="array" ref="F137">INDEX('Лист2'!$D$2:$D$505, MATCH(A137&amp;B137, 'Лист2'!$A$2:$A$505&amp;'Лист2'!$B$2:$B$505, 0))</f>
        <v>22291</v>
      </c>
      <c r="G137" s="8">
        <f t="array" ref="G137">INDEX('Лист2'!$E$2:$E$505, MATCH(A137&amp;B137, 'Лист2'!$A$2:$A$505&amp;'Лист2'!$B$2:$B$505, 0))</f>
        <v>20635</v>
      </c>
      <c r="H137" s="9">
        <f t="shared" si="1"/>
        <v>3270.48</v>
      </c>
      <c r="I137" s="9">
        <f t="shared" si="2"/>
        <v>20</v>
      </c>
      <c r="J137" s="10">
        <f t="shared" si="3"/>
        <v>0.8528933346</v>
      </c>
    </row>
    <row r="138" ht="14.25" customHeight="1">
      <c r="A138" s="6">
        <v>43970.0</v>
      </c>
      <c r="B138" s="7" t="s">
        <v>16</v>
      </c>
      <c r="C138" s="7">
        <v>362536.5</v>
      </c>
      <c r="D138" s="7">
        <v>3.7023243E7</v>
      </c>
      <c r="E138" s="8">
        <f t="array" ref="E138">INDEX('Лист2'!$C$2:$C$505, MATCH(A138&amp;B138, 'Лист2'!$A$2:$A$505&amp;'Лист2'!$B$2:$B$505, 0))</f>
        <v>125</v>
      </c>
      <c r="F138" s="8">
        <f t="array" ref="F138">INDEX('Лист2'!$D$2:$D$505, MATCH(A138&amp;B138, 'Лист2'!$A$2:$A$505&amp;'Лист2'!$B$2:$B$505, 0))</f>
        <v>20771</v>
      </c>
      <c r="G138" s="8">
        <f t="array" ref="G138">INDEX('Лист2'!$E$2:$E$505, MATCH(A138&amp;B138, 'Лист2'!$A$2:$A$505&amp;'Лист2'!$B$2:$B$505, 0))</f>
        <v>19338</v>
      </c>
      <c r="H138" s="9">
        <f t="shared" si="1"/>
        <v>2900.292</v>
      </c>
      <c r="I138" s="9">
        <f t="shared" si="2"/>
        <v>21</v>
      </c>
      <c r="J138" s="10">
        <f t="shared" si="3"/>
        <v>0.7460814782</v>
      </c>
    </row>
    <row r="139" ht="14.25" customHeight="1">
      <c r="A139" s="11">
        <v>43968.0</v>
      </c>
      <c r="B139" s="12" t="s">
        <v>16</v>
      </c>
      <c r="C139" s="12">
        <v>357072.0</v>
      </c>
      <c r="D139" s="12">
        <v>3.6834567E7</v>
      </c>
      <c r="E139" s="8">
        <f t="array" ref="E139">INDEX('Лист2'!$C$2:$C$505, MATCH(A139&amp;B139, 'Лист2'!$A$2:$A$505&amp;'Лист2'!$B$2:$B$505, 0))</f>
        <v>125</v>
      </c>
      <c r="F139" s="8">
        <f t="array" ref="F139">INDEX('Лист2'!$D$2:$D$505, MATCH(A139&amp;B139, 'Лист2'!$A$2:$A$505&amp;'Лист2'!$B$2:$B$505, 0))</f>
        <v>20079</v>
      </c>
      <c r="G139" s="8">
        <f t="array" ref="G139">INDEX('Лист2'!$E$2:$E$505, MATCH(A139&amp;B139, 'Лист2'!$A$2:$A$505&amp;'Лист2'!$B$2:$B$505, 0))</f>
        <v>18721</v>
      </c>
      <c r="H139" s="9">
        <f t="shared" si="1"/>
        <v>2856.576</v>
      </c>
      <c r="I139" s="9">
        <f t="shared" si="2"/>
        <v>20</v>
      </c>
      <c r="J139" s="10">
        <f t="shared" si="3"/>
        <v>0.7422793351</v>
      </c>
    </row>
    <row r="140" ht="14.25" customHeight="1">
      <c r="A140" s="6">
        <v>43960.0</v>
      </c>
      <c r="B140" s="7" t="s">
        <v>16</v>
      </c>
      <c r="C140" s="7">
        <v>359214.0</v>
      </c>
      <c r="D140" s="7">
        <v>3.8693427E7</v>
      </c>
      <c r="E140" s="8">
        <f t="array" ref="E140">INDEX('Лист2'!$C$2:$C$505, MATCH(A140&amp;B140, 'Лист2'!$A$2:$A$505&amp;'Лист2'!$B$2:$B$505, 0))</f>
        <v>125</v>
      </c>
      <c r="F140" s="8">
        <f t="array" ref="F140">INDEX('Лист2'!$D$2:$D$505, MATCH(A140&amp;B140, 'Лист2'!$A$2:$A$505&amp;'Лист2'!$B$2:$B$505, 0))</f>
        <v>20132</v>
      </c>
      <c r="G140" s="8">
        <f t="array" ref="G140">INDEX('Лист2'!$E$2:$E$505, MATCH(A140&amp;B140, 'Лист2'!$A$2:$A$505&amp;'Лист2'!$B$2:$B$505, 0))</f>
        <v>18617</v>
      </c>
      <c r="H140" s="9">
        <f t="shared" si="1"/>
        <v>2873.712</v>
      </c>
      <c r="I140" s="9">
        <f t="shared" si="2"/>
        <v>19</v>
      </c>
      <c r="J140" s="10">
        <f t="shared" si="3"/>
        <v>0.7797385338</v>
      </c>
    </row>
    <row r="141" ht="14.25" customHeight="1">
      <c r="A141" s="11">
        <v>43955.0</v>
      </c>
      <c r="B141" s="12" t="s">
        <v>16</v>
      </c>
      <c r="C141" s="12">
        <v>360255.0</v>
      </c>
      <c r="D141" s="12">
        <v>3.8406954E7</v>
      </c>
      <c r="E141" s="8">
        <f t="array" ref="E141">INDEX('Лист2'!$C$2:$C$505, MATCH(A141&amp;B141, 'Лист2'!$A$2:$A$505&amp;'Лист2'!$B$2:$B$505, 0))</f>
        <v>125</v>
      </c>
      <c r="F141" s="8">
        <f t="array" ref="F141">INDEX('Лист2'!$D$2:$D$505, MATCH(A141&amp;B141, 'Лист2'!$A$2:$A$505&amp;'Лист2'!$B$2:$B$505, 0))</f>
        <v>20495</v>
      </c>
      <c r="G141" s="8">
        <f t="array" ref="G141">INDEX('Лист2'!$E$2:$E$505, MATCH(A141&amp;B141, 'Лист2'!$A$2:$A$505&amp;'Лист2'!$B$2:$B$505, 0))</f>
        <v>18964</v>
      </c>
      <c r="H141" s="9">
        <f t="shared" si="1"/>
        <v>2882.04</v>
      </c>
      <c r="I141" s="9">
        <f t="shared" si="2"/>
        <v>19</v>
      </c>
      <c r="J141" s="10">
        <f t="shared" si="3"/>
        <v>0.7739656143</v>
      </c>
    </row>
    <row r="142" ht="14.25" customHeight="1">
      <c r="A142" s="6">
        <v>43950.0</v>
      </c>
      <c r="B142" s="7" t="s">
        <v>16</v>
      </c>
      <c r="C142" s="7">
        <v>387220.5</v>
      </c>
      <c r="D142" s="7">
        <v>4.1559384E7</v>
      </c>
      <c r="E142" s="8">
        <f t="array" ref="E142">INDEX('Лист2'!$C$2:$C$505, MATCH(A142&amp;B142, 'Лист2'!$A$2:$A$505&amp;'Лист2'!$B$2:$B$505, 0))</f>
        <v>125</v>
      </c>
      <c r="F142" s="8">
        <f t="array" ref="F142">INDEX('Лист2'!$D$2:$D$505, MATCH(A142&amp;B142, 'Лист2'!$A$2:$A$505&amp;'Лист2'!$B$2:$B$505, 0))</f>
        <v>21863</v>
      </c>
      <c r="G142" s="8">
        <f t="array" ref="G142">INDEX('Лист2'!$E$2:$E$505, MATCH(A142&amp;B142, 'Лист2'!$A$2:$A$505&amp;'Лист2'!$B$2:$B$505, 0))</f>
        <v>20160</v>
      </c>
      <c r="H142" s="9">
        <f t="shared" si="1"/>
        <v>3097.764</v>
      </c>
      <c r="I142" s="9">
        <f t="shared" si="2"/>
        <v>18</v>
      </c>
      <c r="J142" s="10">
        <f t="shared" si="3"/>
        <v>0.8374924543</v>
      </c>
    </row>
    <row r="143" ht="14.25" customHeight="1">
      <c r="A143" s="11">
        <v>43953.0</v>
      </c>
      <c r="B143" s="12" t="s">
        <v>16</v>
      </c>
      <c r="C143" s="12">
        <v>296580.0</v>
      </c>
      <c r="D143" s="12">
        <v>3.1843737E7</v>
      </c>
      <c r="E143" s="8">
        <f t="array" ref="E143">INDEX('Лист2'!$C$2:$C$505, MATCH(A143&amp;B143, 'Лист2'!$A$2:$A$505&amp;'Лист2'!$B$2:$B$505, 0))</f>
        <v>125</v>
      </c>
      <c r="F143" s="8">
        <f t="array" ref="F143">INDEX('Лист2'!$D$2:$D$505, MATCH(A143&amp;B143, 'Лист2'!$A$2:$A$505&amp;'Лист2'!$B$2:$B$505, 0))</f>
        <v>16932</v>
      </c>
      <c r="G143" s="8">
        <f t="array" ref="G143">INDEX('Лист2'!$E$2:$E$505, MATCH(A143&amp;B143, 'Лист2'!$A$2:$A$505&amp;'Лист2'!$B$2:$B$505, 0))</f>
        <v>15601</v>
      </c>
      <c r="H143" s="9">
        <f t="shared" si="1"/>
        <v>2372.64</v>
      </c>
      <c r="I143" s="9">
        <f t="shared" si="2"/>
        <v>18</v>
      </c>
      <c r="J143" s="10">
        <f t="shared" si="3"/>
        <v>0.6417056002</v>
      </c>
    </row>
    <row r="144" ht="14.25" customHeight="1">
      <c r="A144" s="6">
        <v>43977.0</v>
      </c>
      <c r="B144" s="7" t="s">
        <v>16</v>
      </c>
      <c r="C144" s="7">
        <v>369861.0</v>
      </c>
      <c r="D144" s="7">
        <v>3.83659605E7</v>
      </c>
      <c r="E144" s="8">
        <f t="array" ref="E144">INDEX('Лист2'!$C$2:$C$505, MATCH(A144&amp;B144, 'Лист2'!$A$2:$A$505&amp;'Лист2'!$B$2:$B$505, 0))</f>
        <v>124</v>
      </c>
      <c r="F144" s="8">
        <f t="array" ref="F144">INDEX('Лист2'!$D$2:$D$505, MATCH(A144&amp;B144, 'Лист2'!$A$2:$A$505&amp;'Лист2'!$B$2:$B$505, 0))</f>
        <v>21153</v>
      </c>
      <c r="G144" s="8">
        <f t="array" ref="G144">INDEX('Лист2'!$E$2:$E$505, MATCH(A144&amp;B144, 'Лист2'!$A$2:$A$505&amp;'Лист2'!$B$2:$B$505, 0))</f>
        <v>19673</v>
      </c>
      <c r="H144" s="9">
        <f t="shared" si="1"/>
        <v>2982.75</v>
      </c>
      <c r="I144" s="9">
        <f t="shared" si="2"/>
        <v>22</v>
      </c>
      <c r="J144" s="10">
        <f t="shared" si="3"/>
        <v>0.7731395254</v>
      </c>
    </row>
    <row r="145" ht="14.25" customHeight="1">
      <c r="A145" s="11">
        <v>43952.0</v>
      </c>
      <c r="B145" s="12" t="s">
        <v>16</v>
      </c>
      <c r="C145" s="12">
        <v>372504.0</v>
      </c>
      <c r="D145" s="12">
        <v>4.00771935E7</v>
      </c>
      <c r="E145" s="8">
        <f t="array" ref="E145">INDEX('Лист2'!$C$2:$C$505, MATCH(A145&amp;B145, 'Лист2'!$A$2:$A$505&amp;'Лист2'!$B$2:$B$505, 0))</f>
        <v>125</v>
      </c>
      <c r="F145" s="8">
        <f t="array" ref="F145">INDEX('Лист2'!$D$2:$D$505, MATCH(A145&amp;B145, 'Лист2'!$A$2:$A$505&amp;'Лист2'!$B$2:$B$505, 0))</f>
        <v>20602</v>
      </c>
      <c r="G145" s="8">
        <f t="array" ref="G145">INDEX('Лист2'!$E$2:$E$505, MATCH(A145&amp;B145, 'Лист2'!$A$2:$A$505&amp;'Лист2'!$B$2:$B$505, 0))</f>
        <v>18845</v>
      </c>
      <c r="H145" s="9">
        <f t="shared" si="1"/>
        <v>2980.032</v>
      </c>
      <c r="I145" s="9">
        <f t="shared" si="2"/>
        <v>18</v>
      </c>
      <c r="J145" s="10">
        <f t="shared" si="3"/>
        <v>0.8076237883</v>
      </c>
    </row>
    <row r="146" ht="14.25" customHeight="1">
      <c r="A146" s="6">
        <v>43963.0</v>
      </c>
      <c r="B146" s="7" t="s">
        <v>16</v>
      </c>
      <c r="C146" s="7">
        <v>373392.0</v>
      </c>
      <c r="D146" s="7">
        <v>3.9578577E7</v>
      </c>
      <c r="E146" s="8">
        <f t="array" ref="E146">INDEX('Лист2'!$C$2:$C$505, MATCH(A146&amp;B146, 'Лист2'!$A$2:$A$505&amp;'Лист2'!$B$2:$B$505, 0))</f>
        <v>125</v>
      </c>
      <c r="F146" s="8">
        <f t="array" ref="F146">INDEX('Лист2'!$D$2:$D$505, MATCH(A146&amp;B146, 'Лист2'!$A$2:$A$505&amp;'Лист2'!$B$2:$B$505, 0))</f>
        <v>21106</v>
      </c>
      <c r="G146" s="8">
        <f t="array" ref="G146">INDEX('Лист2'!$E$2:$E$505, MATCH(A146&amp;B146, 'Лист2'!$A$2:$A$505&amp;'Лист2'!$B$2:$B$505, 0))</f>
        <v>19651</v>
      </c>
      <c r="H146" s="9">
        <f t="shared" si="1"/>
        <v>2987.136</v>
      </c>
      <c r="I146" s="9">
        <f t="shared" si="2"/>
        <v>20</v>
      </c>
      <c r="J146" s="10">
        <f t="shared" si="3"/>
        <v>0.7975758156</v>
      </c>
    </row>
    <row r="147" ht="14.25" customHeight="1">
      <c r="A147" s="11">
        <v>43972.0</v>
      </c>
      <c r="B147" s="12" t="s">
        <v>16</v>
      </c>
      <c r="C147" s="12">
        <v>378043.5</v>
      </c>
      <c r="D147" s="12">
        <v>3.790215657E7</v>
      </c>
      <c r="E147" s="8">
        <f t="array" ref="E147">INDEX('Лист2'!$C$2:$C$505, MATCH(A147&amp;B147, 'Лист2'!$A$2:$A$505&amp;'Лист2'!$B$2:$B$505, 0))</f>
        <v>125</v>
      </c>
      <c r="F147" s="8">
        <f t="array" ref="F147">INDEX('Лист2'!$D$2:$D$505, MATCH(A147&amp;B147, 'Лист2'!$A$2:$A$505&amp;'Лист2'!$B$2:$B$505, 0))</f>
        <v>20911</v>
      </c>
      <c r="G147" s="8">
        <f t="array" ref="G147">INDEX('Лист2'!$E$2:$E$505, MATCH(A147&amp;B147, 'Лист2'!$A$2:$A$505&amp;'Лист2'!$B$2:$B$505, 0))</f>
        <v>19358</v>
      </c>
      <c r="H147" s="9">
        <f t="shared" si="1"/>
        <v>3024.348</v>
      </c>
      <c r="I147" s="9">
        <f t="shared" si="2"/>
        <v>21</v>
      </c>
      <c r="J147" s="10">
        <f t="shared" si="3"/>
        <v>0.7637930853</v>
      </c>
    </row>
    <row r="148" ht="14.25" customHeight="1">
      <c r="A148" s="6">
        <v>43971.0</v>
      </c>
      <c r="B148" s="7" t="s">
        <v>16</v>
      </c>
      <c r="C148" s="7">
        <v>388668.0</v>
      </c>
      <c r="D148" s="7">
        <v>3.9639309E7</v>
      </c>
      <c r="E148" s="8">
        <f t="array" ref="E148">INDEX('Лист2'!$C$2:$C$505, MATCH(A148&amp;B148, 'Лист2'!$A$2:$A$505&amp;'Лист2'!$B$2:$B$505, 0))</f>
        <v>125</v>
      </c>
      <c r="F148" s="8">
        <f t="array" ref="F148">INDEX('Лист2'!$D$2:$D$505, MATCH(A148&amp;B148, 'Лист2'!$A$2:$A$505&amp;'Лист2'!$B$2:$B$505, 0))</f>
        <v>21674</v>
      </c>
      <c r="G148" s="8">
        <f t="array" ref="G148">INDEX('Лист2'!$E$2:$E$505, MATCH(A148&amp;B148, 'Лист2'!$A$2:$A$505&amp;'Лист2'!$B$2:$B$505, 0))</f>
        <v>20155</v>
      </c>
      <c r="H148" s="9">
        <f t="shared" si="1"/>
        <v>3109.344</v>
      </c>
      <c r="I148" s="9">
        <f t="shared" si="2"/>
        <v>21</v>
      </c>
      <c r="J148" s="10">
        <f t="shared" si="3"/>
        <v>0.798799669</v>
      </c>
    </row>
    <row r="149" ht="14.25" customHeight="1">
      <c r="A149" s="11">
        <v>43956.0</v>
      </c>
      <c r="B149" s="12" t="s">
        <v>16</v>
      </c>
      <c r="C149" s="12">
        <v>333792.0</v>
      </c>
      <c r="D149" s="12">
        <v>3.5671734E7</v>
      </c>
      <c r="E149" s="8">
        <f t="array" ref="E149">INDEX('Лист2'!$C$2:$C$505, MATCH(A149&amp;B149, 'Лист2'!$A$2:$A$505&amp;'Лист2'!$B$2:$B$505, 0))</f>
        <v>125</v>
      </c>
      <c r="F149" s="8">
        <f t="array" ref="F149">INDEX('Лист2'!$D$2:$D$505, MATCH(A149&amp;B149, 'Лист2'!$A$2:$A$505&amp;'Лист2'!$B$2:$B$505, 0))</f>
        <v>18944</v>
      </c>
      <c r="G149" s="8">
        <f t="array" ref="G149">INDEX('Лист2'!$E$2:$E$505, MATCH(A149&amp;B149, 'Лист2'!$A$2:$A$505&amp;'Лист2'!$B$2:$B$505, 0))</f>
        <v>17541</v>
      </c>
      <c r="H149" s="9">
        <f t="shared" si="1"/>
        <v>2670.336</v>
      </c>
      <c r="I149" s="9">
        <f t="shared" si="2"/>
        <v>19</v>
      </c>
      <c r="J149" s="10">
        <f t="shared" si="3"/>
        <v>0.7188462673</v>
      </c>
    </row>
    <row r="150" ht="14.25" customHeight="1">
      <c r="A150" s="6">
        <v>43949.0</v>
      </c>
      <c r="B150" s="7" t="s">
        <v>16</v>
      </c>
      <c r="C150" s="7">
        <v>376060.5</v>
      </c>
      <c r="D150" s="7">
        <v>3.99180285E7</v>
      </c>
      <c r="E150" s="8">
        <f t="array" ref="E150">INDEX('Лист2'!$C$2:$C$505, MATCH(A150&amp;B150, 'Лист2'!$A$2:$A$505&amp;'Лист2'!$B$2:$B$505, 0))</f>
        <v>125</v>
      </c>
      <c r="F150" s="8">
        <f t="array" ref="F150">INDEX('Лист2'!$D$2:$D$505, MATCH(A150&amp;B150, 'Лист2'!$A$2:$A$505&amp;'Лист2'!$B$2:$B$505, 0))</f>
        <v>20914</v>
      </c>
      <c r="G150" s="8">
        <f t="array" ref="G150">INDEX('Лист2'!$E$2:$E$505, MATCH(A150&amp;B150, 'Лист2'!$A$2:$A$505&amp;'Лист2'!$B$2:$B$505, 0))</f>
        <v>19479</v>
      </c>
      <c r="H150" s="9">
        <f t="shared" si="1"/>
        <v>3008.484</v>
      </c>
      <c r="I150" s="9">
        <f t="shared" si="2"/>
        <v>18</v>
      </c>
      <c r="J150" s="10">
        <f t="shared" si="3"/>
        <v>0.8044163422</v>
      </c>
    </row>
    <row r="151" ht="14.25" customHeight="1">
      <c r="A151" s="11">
        <v>43964.0</v>
      </c>
      <c r="B151" s="12" t="s">
        <v>16</v>
      </c>
      <c r="C151" s="12">
        <v>350068.5</v>
      </c>
      <c r="D151" s="12">
        <v>3.71971155E7</v>
      </c>
      <c r="E151" s="8">
        <f t="array" ref="E151">INDEX('Лист2'!$C$2:$C$505, MATCH(A151&amp;B151, 'Лист2'!$A$2:$A$505&amp;'Лист2'!$B$2:$B$505, 0))</f>
        <v>125</v>
      </c>
      <c r="F151" s="8">
        <f t="array" ref="F151">INDEX('Лист2'!$D$2:$D$505, MATCH(A151&amp;B151, 'Лист2'!$A$2:$A$505&amp;'Лист2'!$B$2:$B$505, 0))</f>
        <v>19965</v>
      </c>
      <c r="G151" s="8">
        <f t="array" ref="G151">INDEX('Лист2'!$E$2:$E$505, MATCH(A151&amp;B151, 'Лист2'!$A$2:$A$505&amp;'Лист2'!$B$2:$B$505, 0))</f>
        <v>18573</v>
      </c>
      <c r="H151" s="9">
        <f t="shared" si="1"/>
        <v>2800.548</v>
      </c>
      <c r="I151" s="9">
        <f t="shared" si="2"/>
        <v>20</v>
      </c>
      <c r="J151" s="10">
        <f t="shared" si="3"/>
        <v>0.7495853056</v>
      </c>
    </row>
    <row r="152" ht="14.25" customHeight="1">
      <c r="A152" s="6">
        <v>43982.0</v>
      </c>
      <c r="B152" s="7" t="s">
        <v>15</v>
      </c>
      <c r="C152" s="7">
        <v>294337.5</v>
      </c>
      <c r="D152" s="7">
        <v>2.9327766E7</v>
      </c>
      <c r="E152" s="8">
        <f t="array" ref="E152">INDEX('Лист2'!$C$2:$C$505, MATCH(A152&amp;B152, 'Лист2'!$A$2:$A$505&amp;'Лист2'!$B$2:$B$505, 0))</f>
        <v>129</v>
      </c>
      <c r="F152" s="8">
        <f t="array" ref="F152">INDEX('Лист2'!$D$2:$D$505, MATCH(A152&amp;B152, 'Лист2'!$A$2:$A$505&amp;'Лист2'!$B$2:$B$505, 0))</f>
        <v>17235</v>
      </c>
      <c r="G152" s="8">
        <f t="array" ref="G152">INDEX('Лист2'!$E$2:$E$505, MATCH(A152&amp;B152, 'Лист2'!$A$2:$A$505&amp;'Лист2'!$B$2:$B$505, 0))</f>
        <v>16052</v>
      </c>
      <c r="H152" s="9">
        <f t="shared" si="1"/>
        <v>2281.686047</v>
      </c>
      <c r="I152" s="9">
        <f t="shared" si="2"/>
        <v>22</v>
      </c>
      <c r="J152" s="10">
        <f t="shared" si="3"/>
        <v>0.5910044944</v>
      </c>
    </row>
    <row r="153" ht="14.25" customHeight="1">
      <c r="A153" s="11">
        <v>43954.0</v>
      </c>
      <c r="B153" s="12" t="s">
        <v>16</v>
      </c>
      <c r="C153" s="12">
        <v>342666.0</v>
      </c>
      <c r="D153" s="12">
        <v>3.66319995E7</v>
      </c>
      <c r="E153" s="8">
        <f t="array" ref="E153">INDEX('Лист2'!$C$2:$C$505, MATCH(A153&amp;B153, 'Лист2'!$A$2:$A$505&amp;'Лист2'!$B$2:$B$505, 0))</f>
        <v>125</v>
      </c>
      <c r="F153" s="8">
        <f t="array" ref="F153">INDEX('Лист2'!$D$2:$D$505, MATCH(A153&amp;B153, 'Лист2'!$A$2:$A$505&amp;'Лист2'!$B$2:$B$505, 0))</f>
        <v>18861</v>
      </c>
      <c r="G153" s="8">
        <f t="array" ref="G153">INDEX('Лист2'!$E$2:$E$505, MATCH(A153&amp;B153, 'Лист2'!$A$2:$A$505&amp;'Лист2'!$B$2:$B$505, 0))</f>
        <v>17420</v>
      </c>
      <c r="H153" s="9">
        <f t="shared" si="1"/>
        <v>2741.328</v>
      </c>
      <c r="I153" s="9">
        <f t="shared" si="2"/>
        <v>18</v>
      </c>
      <c r="J153" s="10">
        <f t="shared" si="3"/>
        <v>0.7381972545</v>
      </c>
    </row>
    <row r="154" ht="14.25" customHeight="1">
      <c r="A154" s="6">
        <v>43981.0</v>
      </c>
      <c r="B154" s="7" t="s">
        <v>15</v>
      </c>
      <c r="C154" s="7">
        <v>364882.5</v>
      </c>
      <c r="D154" s="7">
        <v>3.57244935E7</v>
      </c>
      <c r="E154" s="8">
        <f t="array" ref="E154">INDEX('Лист2'!$C$2:$C$505, MATCH(A154&amp;B154, 'Лист2'!$A$2:$A$505&amp;'Лист2'!$B$2:$B$505, 0))</f>
        <v>129</v>
      </c>
      <c r="F154" s="8">
        <f t="array" ref="F154">INDEX('Лист2'!$D$2:$D$505, MATCH(A154&amp;B154, 'Лист2'!$A$2:$A$505&amp;'Лист2'!$B$2:$B$505, 0))</f>
        <v>20243</v>
      </c>
      <c r="G154" s="8">
        <f t="array" ref="G154">INDEX('Лист2'!$E$2:$E$505, MATCH(A154&amp;B154, 'Лист2'!$A$2:$A$505&amp;'Лист2'!$B$2:$B$505, 0))</f>
        <v>18711</v>
      </c>
      <c r="H154" s="9">
        <f t="shared" si="1"/>
        <v>2828.546512</v>
      </c>
      <c r="I154" s="9">
        <f t="shared" si="2"/>
        <v>22</v>
      </c>
      <c r="J154" s="10">
        <f t="shared" si="3"/>
        <v>0.7199094612</v>
      </c>
    </row>
    <row r="155" ht="14.25" customHeight="1">
      <c r="A155" s="11">
        <v>43957.0</v>
      </c>
      <c r="B155" s="12" t="s">
        <v>16</v>
      </c>
      <c r="C155" s="12">
        <v>355278.0</v>
      </c>
      <c r="D155" s="12">
        <v>3.8092344E7</v>
      </c>
      <c r="E155" s="8">
        <f t="array" ref="E155">INDEX('Лист2'!$C$2:$C$505, MATCH(A155&amp;B155, 'Лист2'!$A$2:$A$505&amp;'Лист2'!$B$2:$B$505, 0))</f>
        <v>125</v>
      </c>
      <c r="F155" s="8">
        <f t="array" ref="F155">INDEX('Лист2'!$D$2:$D$505, MATCH(A155&amp;B155, 'Лист2'!$A$2:$A$505&amp;'Лист2'!$B$2:$B$505, 0))</f>
        <v>20218</v>
      </c>
      <c r="G155" s="8">
        <f t="array" ref="G155">INDEX('Лист2'!$E$2:$E$505, MATCH(A155&amp;B155, 'Лист2'!$A$2:$A$505&amp;'Лист2'!$B$2:$B$505, 0))</f>
        <v>18647</v>
      </c>
      <c r="H155" s="9">
        <f t="shared" si="1"/>
        <v>2842.224</v>
      </c>
      <c r="I155" s="9">
        <f t="shared" si="2"/>
        <v>19</v>
      </c>
      <c r="J155" s="10">
        <f t="shared" si="3"/>
        <v>0.7676256864</v>
      </c>
    </row>
    <row r="156" ht="14.25" customHeight="1">
      <c r="A156" s="6">
        <v>43974.0</v>
      </c>
      <c r="B156" s="7" t="s">
        <v>16</v>
      </c>
      <c r="C156" s="7">
        <v>456885.0</v>
      </c>
      <c r="D156" s="7">
        <v>4.640808E7</v>
      </c>
      <c r="E156" s="8">
        <f t="array" ref="E156">INDEX('Лист2'!$C$2:$C$505, MATCH(A156&amp;B156, 'Лист2'!$A$2:$A$505&amp;'Лист2'!$B$2:$B$505, 0))</f>
        <v>125</v>
      </c>
      <c r="F156" s="8">
        <f t="array" ref="F156">INDEX('Лист2'!$D$2:$D$505, MATCH(A156&amp;B156, 'Лист2'!$A$2:$A$505&amp;'Лист2'!$B$2:$B$505, 0))</f>
        <v>24574</v>
      </c>
      <c r="G156" s="8">
        <f t="array" ref="G156">INDEX('Лист2'!$E$2:$E$505, MATCH(A156&amp;B156, 'Лист2'!$A$2:$A$505&amp;'Лист2'!$B$2:$B$505, 0))</f>
        <v>22609</v>
      </c>
      <c r="H156" s="9">
        <f t="shared" si="1"/>
        <v>3655.08</v>
      </c>
      <c r="I156" s="9">
        <f t="shared" si="2"/>
        <v>21</v>
      </c>
      <c r="J156" s="10">
        <f t="shared" si="3"/>
        <v>0.9352019467</v>
      </c>
    </row>
    <row r="157" ht="14.25" customHeight="1">
      <c r="A157" s="11">
        <v>43979.0</v>
      </c>
      <c r="B157" s="12" t="s">
        <v>15</v>
      </c>
      <c r="C157" s="12">
        <v>278491.5</v>
      </c>
      <c r="D157" s="12">
        <v>2.815100475E7</v>
      </c>
      <c r="E157" s="8">
        <f t="array" ref="E157">INDEX('Лист2'!$C$2:$C$505, MATCH(A157&amp;B157, 'Лист2'!$A$2:$A$505&amp;'Лист2'!$B$2:$B$505, 0))</f>
        <v>129</v>
      </c>
      <c r="F157" s="8">
        <f t="array" ref="F157">INDEX('Лист2'!$D$2:$D$505, MATCH(A157&amp;B157, 'Лист2'!$A$2:$A$505&amp;'Лист2'!$B$2:$B$505, 0))</f>
        <v>16453</v>
      </c>
      <c r="G157" s="8">
        <f t="array" ref="G157">INDEX('Лист2'!$E$2:$E$505, MATCH(A157&amp;B157, 'Лист2'!$A$2:$A$505&amp;'Лист2'!$B$2:$B$505, 0))</f>
        <v>15289</v>
      </c>
      <c r="H157" s="9">
        <f t="shared" si="1"/>
        <v>2158.848837</v>
      </c>
      <c r="I157" s="9">
        <f t="shared" si="2"/>
        <v>22</v>
      </c>
      <c r="J157" s="10">
        <f t="shared" si="3"/>
        <v>0.5672907486</v>
      </c>
    </row>
    <row r="158" ht="14.25" customHeight="1">
      <c r="A158" s="6">
        <v>43976.0</v>
      </c>
      <c r="B158" s="7" t="s">
        <v>16</v>
      </c>
      <c r="C158" s="7">
        <v>349734.0</v>
      </c>
      <c r="D158" s="7">
        <v>3.6883428E7</v>
      </c>
      <c r="E158" s="8">
        <f t="array" ref="E158">INDEX('Лист2'!$C$2:$C$505, MATCH(A158&amp;B158, 'Лист2'!$A$2:$A$505&amp;'Лист2'!$B$2:$B$505, 0))</f>
        <v>124</v>
      </c>
      <c r="F158" s="8">
        <f t="array" ref="F158">INDEX('Лист2'!$D$2:$D$505, MATCH(A158&amp;B158, 'Лист2'!$A$2:$A$505&amp;'Лист2'!$B$2:$B$505, 0))</f>
        <v>20358</v>
      </c>
      <c r="G158" s="8">
        <f t="array" ref="G158">INDEX('Лист2'!$E$2:$E$505, MATCH(A158&amp;B158, 'Лист2'!$A$2:$A$505&amp;'Лист2'!$B$2:$B$505, 0))</f>
        <v>18890</v>
      </c>
      <c r="H158" s="9">
        <f t="shared" si="1"/>
        <v>2820.435484</v>
      </c>
      <c r="I158" s="9">
        <f t="shared" si="2"/>
        <v>22</v>
      </c>
      <c r="J158" s="10">
        <f t="shared" si="3"/>
        <v>0.7432639675</v>
      </c>
    </row>
    <row r="159" ht="14.25" customHeight="1">
      <c r="A159" s="11">
        <v>43951.0</v>
      </c>
      <c r="B159" s="12" t="s">
        <v>16</v>
      </c>
      <c r="C159" s="12">
        <v>401580.0</v>
      </c>
      <c r="D159" s="12">
        <v>4.30287345E7</v>
      </c>
      <c r="E159" s="8">
        <f t="array" ref="E159">INDEX('Лист2'!$C$2:$C$505, MATCH(A159&amp;B159, 'Лист2'!$A$2:$A$505&amp;'Лист2'!$B$2:$B$505, 0))</f>
        <v>125</v>
      </c>
      <c r="F159" s="8">
        <f t="array" ref="F159">INDEX('Лист2'!$D$2:$D$505, MATCH(A159&amp;B159, 'Лист2'!$A$2:$A$505&amp;'Лист2'!$B$2:$B$505, 0))</f>
        <v>22368</v>
      </c>
      <c r="G159" s="8">
        <f t="array" ref="G159">INDEX('Лист2'!$E$2:$E$505, MATCH(A159&amp;B159, 'Лист2'!$A$2:$A$505&amp;'Лист2'!$B$2:$B$505, 0))</f>
        <v>20625</v>
      </c>
      <c r="H159" s="9">
        <f t="shared" si="1"/>
        <v>3212.64</v>
      </c>
      <c r="I159" s="9">
        <f t="shared" si="2"/>
        <v>18</v>
      </c>
      <c r="J159" s="10">
        <f t="shared" si="3"/>
        <v>0.8671023724</v>
      </c>
    </row>
    <row r="160" ht="14.25" customHeight="1">
      <c r="A160" s="6">
        <v>43961.0</v>
      </c>
      <c r="B160" s="7" t="s">
        <v>16</v>
      </c>
      <c r="C160" s="7">
        <v>368649.0</v>
      </c>
      <c r="D160" s="7">
        <v>3.9010875E7</v>
      </c>
      <c r="E160" s="8">
        <f t="array" ref="E160">INDEX('Лист2'!$C$2:$C$505, MATCH(A160&amp;B160, 'Лист2'!$A$2:$A$505&amp;'Лист2'!$B$2:$B$505, 0))</f>
        <v>125</v>
      </c>
      <c r="F160" s="8">
        <f t="array" ref="F160">INDEX('Лист2'!$D$2:$D$505, MATCH(A160&amp;B160, 'Лист2'!$A$2:$A$505&amp;'Лист2'!$B$2:$B$505, 0))</f>
        <v>20368</v>
      </c>
      <c r="G160" s="8">
        <f t="array" ref="G160">INDEX('Лист2'!$E$2:$E$505, MATCH(A160&amp;B160, 'Лист2'!$A$2:$A$505&amp;'Лист2'!$B$2:$B$505, 0))</f>
        <v>18884</v>
      </c>
      <c r="H160" s="9">
        <f t="shared" si="1"/>
        <v>2949.192</v>
      </c>
      <c r="I160" s="9">
        <f t="shared" si="2"/>
        <v>19</v>
      </c>
      <c r="J160" s="10">
        <f t="shared" si="3"/>
        <v>0.7861356523</v>
      </c>
    </row>
    <row r="161" ht="14.25" customHeight="1">
      <c r="A161" s="11">
        <v>43959.0</v>
      </c>
      <c r="B161" s="12" t="s">
        <v>16</v>
      </c>
      <c r="C161" s="12">
        <v>463530.0</v>
      </c>
      <c r="D161" s="12">
        <v>4.91231805E7</v>
      </c>
      <c r="E161" s="8">
        <f t="array" ref="E161">INDEX('Лист2'!$C$2:$C$505, MATCH(A161&amp;B161, 'Лист2'!$A$2:$A$505&amp;'Лист2'!$B$2:$B$505, 0))</f>
        <v>125</v>
      </c>
      <c r="F161" s="8">
        <f t="array" ref="F161">INDEX('Лист2'!$D$2:$D$505, MATCH(A161&amp;B161, 'Лист2'!$A$2:$A$505&amp;'Лист2'!$B$2:$B$505, 0))</f>
        <v>24620</v>
      </c>
      <c r="G161" s="8">
        <f t="array" ref="G161">INDEX('Лист2'!$E$2:$E$505, MATCH(A161&amp;B161, 'Лист2'!$A$2:$A$505&amp;'Лист2'!$B$2:$B$505, 0))</f>
        <v>22641</v>
      </c>
      <c r="H161" s="9">
        <f t="shared" si="1"/>
        <v>3708.24</v>
      </c>
      <c r="I161" s="9">
        <f t="shared" si="2"/>
        <v>19</v>
      </c>
      <c r="J161" s="10">
        <f t="shared" si="3"/>
        <v>0.9899158515</v>
      </c>
    </row>
    <row r="162" ht="14.25" customHeight="1">
      <c r="A162" s="6">
        <v>43958.0</v>
      </c>
      <c r="B162" s="7" t="s">
        <v>16</v>
      </c>
      <c r="C162" s="7">
        <v>319110.0</v>
      </c>
      <c r="D162" s="7">
        <v>3.3763989E7</v>
      </c>
      <c r="E162" s="8">
        <f t="array" ref="E162">INDEX('Лист2'!$C$2:$C$505, MATCH(A162&amp;B162, 'Лист2'!$A$2:$A$505&amp;'Лист2'!$B$2:$B$505, 0))</f>
        <v>125</v>
      </c>
      <c r="F162" s="8">
        <f t="array" ref="F162">INDEX('Лист2'!$D$2:$D$505, MATCH(A162&amp;B162, 'Лист2'!$A$2:$A$505&amp;'Лист2'!$B$2:$B$505, 0))</f>
        <v>18014</v>
      </c>
      <c r="G162" s="8">
        <f t="array" ref="G162">INDEX('Лист2'!$E$2:$E$505, MATCH(A162&amp;B162, 'Лист2'!$A$2:$A$505&amp;'Лист2'!$B$2:$B$505, 0))</f>
        <v>16675</v>
      </c>
      <c r="H162" s="9">
        <f t="shared" si="1"/>
        <v>2552.88</v>
      </c>
      <c r="I162" s="9">
        <f t="shared" si="2"/>
        <v>19</v>
      </c>
      <c r="J162" s="10">
        <f t="shared" si="3"/>
        <v>0.6804019524</v>
      </c>
    </row>
    <row r="163" ht="14.25" customHeight="1">
      <c r="A163" s="11">
        <v>43975.0</v>
      </c>
      <c r="B163" s="12" t="s">
        <v>16</v>
      </c>
      <c r="C163" s="12">
        <v>375744.0</v>
      </c>
      <c r="D163" s="12">
        <v>3.81913815E7</v>
      </c>
      <c r="E163" s="8">
        <f t="array" ref="E163">INDEX('Лист2'!$C$2:$C$505, MATCH(A163&amp;B163, 'Лист2'!$A$2:$A$505&amp;'Лист2'!$B$2:$B$505, 0))</f>
        <v>125</v>
      </c>
      <c r="F163" s="8">
        <f t="array" ref="F163">INDEX('Лист2'!$D$2:$D$505, MATCH(A163&amp;B163, 'Лист2'!$A$2:$A$505&amp;'Лист2'!$B$2:$B$505, 0))</f>
        <v>21004</v>
      </c>
      <c r="G163" s="8">
        <f t="array" ref="G163">INDEX('Лист2'!$E$2:$E$505, MATCH(A163&amp;B163, 'Лист2'!$A$2:$A$505&amp;'Лист2'!$B$2:$B$505, 0))</f>
        <v>19556</v>
      </c>
      <c r="H163" s="9">
        <f t="shared" si="1"/>
        <v>3005.952</v>
      </c>
      <c r="I163" s="9">
        <f t="shared" si="2"/>
        <v>21</v>
      </c>
      <c r="J163" s="10">
        <f t="shared" si="3"/>
        <v>0.7696214609</v>
      </c>
    </row>
    <row r="164" ht="14.25" customHeight="1">
      <c r="A164" s="6">
        <v>43967.0</v>
      </c>
      <c r="B164" s="7" t="s">
        <v>17</v>
      </c>
      <c r="C164" s="7">
        <v>81331.5</v>
      </c>
      <c r="D164" s="7">
        <v>6652179.0</v>
      </c>
      <c r="E164" s="8">
        <f t="array" ref="E164">INDEX('Лист2'!$C$2:$C$505, MATCH(A164&amp;B164, 'Лист2'!$A$2:$A$505&amp;'Лист2'!$B$2:$B$505, 0))</f>
        <v>36</v>
      </c>
      <c r="F164" s="8">
        <f t="array" ref="F164">INDEX('Лист2'!$D$2:$D$505, MATCH(A164&amp;B164, 'Лист2'!$A$2:$A$505&amp;'Лист2'!$B$2:$B$505, 0))</f>
        <v>5286</v>
      </c>
      <c r="G164" s="8">
        <f t="array" ref="G164">INDEX('Лист2'!$E$2:$E$505, MATCH(A164&amp;B164, 'Лист2'!$A$2:$A$505&amp;'Лист2'!$B$2:$B$505, 0))</f>
        <v>4867</v>
      </c>
      <c r="H164" s="9">
        <f t="shared" si="1"/>
        <v>2259.208333</v>
      </c>
      <c r="I164" s="9">
        <f t="shared" si="2"/>
        <v>20</v>
      </c>
      <c r="J164" s="10">
        <f t="shared" si="3"/>
        <v>0.1340527501</v>
      </c>
    </row>
    <row r="165" ht="14.25" customHeight="1">
      <c r="A165" s="11">
        <v>43970.0</v>
      </c>
      <c r="B165" s="12" t="s">
        <v>17</v>
      </c>
      <c r="C165" s="12">
        <v>75796.5</v>
      </c>
      <c r="D165" s="12">
        <v>6173463.0</v>
      </c>
      <c r="E165" s="8">
        <f t="array" ref="E165">INDEX('Лист2'!$C$2:$C$505, MATCH(A165&amp;B165, 'Лист2'!$A$2:$A$505&amp;'Лист2'!$B$2:$B$505, 0))</f>
        <v>36</v>
      </c>
      <c r="F165" s="8">
        <f t="array" ref="F165">INDEX('Лист2'!$D$2:$D$505, MATCH(A165&amp;B165, 'Лист2'!$A$2:$A$505&amp;'Лист2'!$B$2:$B$505, 0))</f>
        <v>5094</v>
      </c>
      <c r="G165" s="8">
        <f t="array" ref="G165">INDEX('Лист2'!$E$2:$E$505, MATCH(A165&amp;B165, 'Лист2'!$A$2:$A$505&amp;'Лист2'!$B$2:$B$505, 0))</f>
        <v>4716</v>
      </c>
      <c r="H165" s="9">
        <f t="shared" si="1"/>
        <v>2105.458333</v>
      </c>
      <c r="I165" s="9">
        <f t="shared" si="2"/>
        <v>21</v>
      </c>
      <c r="J165" s="10">
        <f t="shared" si="3"/>
        <v>0.1244058064</v>
      </c>
    </row>
    <row r="166" ht="14.25" customHeight="1">
      <c r="A166" s="6">
        <v>43968.0</v>
      </c>
      <c r="B166" s="7" t="s">
        <v>17</v>
      </c>
      <c r="C166" s="7">
        <v>72861.0</v>
      </c>
      <c r="D166" s="7">
        <v>5952802.5</v>
      </c>
      <c r="E166" s="8">
        <f t="array" ref="E166">INDEX('Лист2'!$C$2:$C$505, MATCH(A166&amp;B166, 'Лист2'!$A$2:$A$505&amp;'Лист2'!$B$2:$B$505, 0))</f>
        <v>36</v>
      </c>
      <c r="F166" s="8">
        <f t="array" ref="F166">INDEX('Лист2'!$D$2:$D$505, MATCH(A166&amp;B166, 'Лист2'!$A$2:$A$505&amp;'Лист2'!$B$2:$B$505, 0))</f>
        <v>4918</v>
      </c>
      <c r="G166" s="8">
        <f t="array" ref="G166">INDEX('Лист2'!$E$2:$E$505, MATCH(A166&amp;B166, 'Лист2'!$A$2:$A$505&amp;'Лист2'!$B$2:$B$505, 0))</f>
        <v>4554</v>
      </c>
      <c r="H166" s="9">
        <f t="shared" si="1"/>
        <v>2023.916667</v>
      </c>
      <c r="I166" s="9">
        <f t="shared" si="2"/>
        <v>20</v>
      </c>
      <c r="J166" s="10">
        <f t="shared" si="3"/>
        <v>0.119959121</v>
      </c>
    </row>
    <row r="167" ht="14.25" customHeight="1">
      <c r="A167" s="11">
        <v>43960.0</v>
      </c>
      <c r="B167" s="12" t="s">
        <v>17</v>
      </c>
      <c r="C167" s="12">
        <v>83373.0</v>
      </c>
      <c r="D167" s="12">
        <v>7253427.0</v>
      </c>
      <c r="E167" s="8">
        <f t="array" ref="E167">INDEX('Лист2'!$C$2:$C$505, MATCH(A167&amp;B167, 'Лист2'!$A$2:$A$505&amp;'Лист2'!$B$2:$B$505, 0))</f>
        <v>36</v>
      </c>
      <c r="F167" s="8">
        <f t="array" ref="F167">INDEX('Лист2'!$D$2:$D$505, MATCH(A167&amp;B167, 'Лист2'!$A$2:$A$505&amp;'Лист2'!$B$2:$B$505, 0))</f>
        <v>5413</v>
      </c>
      <c r="G167" s="8">
        <f t="array" ref="G167">INDEX('Лист2'!$E$2:$E$505, MATCH(A167&amp;B167, 'Лист2'!$A$2:$A$505&amp;'Лист2'!$B$2:$B$505, 0))</f>
        <v>4959</v>
      </c>
      <c r="H167" s="9">
        <f t="shared" si="1"/>
        <v>2315.916667</v>
      </c>
      <c r="I167" s="9">
        <f t="shared" si="2"/>
        <v>19</v>
      </c>
      <c r="J167" s="10">
        <f t="shared" si="3"/>
        <v>0.1461689225</v>
      </c>
    </row>
    <row r="168" ht="14.25" customHeight="1">
      <c r="A168" s="6">
        <v>43955.0</v>
      </c>
      <c r="B168" s="7" t="s">
        <v>17</v>
      </c>
      <c r="C168" s="7">
        <v>64108.5</v>
      </c>
      <c r="D168" s="7">
        <v>5561452.5</v>
      </c>
      <c r="E168" s="8">
        <f t="array" ref="E168">INDEX('Лист2'!$C$2:$C$505, MATCH(A168&amp;B168, 'Лист2'!$A$2:$A$505&amp;'Лист2'!$B$2:$B$505, 0))</f>
        <v>36</v>
      </c>
      <c r="F168" s="8">
        <f t="array" ref="F168">INDEX('Лист2'!$D$2:$D$505, MATCH(A168&amp;B168, 'Лист2'!$A$2:$A$505&amp;'Лист2'!$B$2:$B$505, 0))</f>
        <v>4508</v>
      </c>
      <c r="G168" s="8">
        <f t="array" ref="G168">INDEX('Лист2'!$E$2:$E$505, MATCH(A168&amp;B168, 'Лист2'!$A$2:$A$505&amp;'Лист2'!$B$2:$B$505, 0))</f>
        <v>4149</v>
      </c>
      <c r="H168" s="9">
        <f t="shared" si="1"/>
        <v>1780.791667</v>
      </c>
      <c r="I168" s="9">
        <f t="shared" si="2"/>
        <v>19</v>
      </c>
      <c r="J168" s="10">
        <f t="shared" si="3"/>
        <v>0.1120727512</v>
      </c>
    </row>
    <row r="169" ht="14.25" customHeight="1">
      <c r="A169" s="11">
        <v>43950.0</v>
      </c>
      <c r="B169" s="12" t="s">
        <v>17</v>
      </c>
      <c r="C169" s="12">
        <v>74707.5</v>
      </c>
      <c r="D169" s="12">
        <v>6454458.0</v>
      </c>
      <c r="E169" s="8">
        <f t="array" ref="E169">INDEX('Лист2'!$C$2:$C$505, MATCH(A169&amp;B169, 'Лист2'!$A$2:$A$505&amp;'Лист2'!$B$2:$B$505, 0))</f>
        <v>36</v>
      </c>
      <c r="F169" s="8">
        <f t="array" ref="F169">INDEX('Лист2'!$D$2:$D$505, MATCH(A169&amp;B169, 'Лист2'!$A$2:$A$505&amp;'Лист2'!$B$2:$B$505, 0))</f>
        <v>4937</v>
      </c>
      <c r="G169" s="8">
        <f t="array" ref="G169">INDEX('Лист2'!$E$2:$E$505, MATCH(A169&amp;B169, 'Лист2'!$A$2:$A$505&amp;'Лист2'!$B$2:$B$505, 0))</f>
        <v>4561</v>
      </c>
      <c r="H169" s="9">
        <f t="shared" si="1"/>
        <v>2075.208333</v>
      </c>
      <c r="I169" s="9">
        <f t="shared" si="2"/>
        <v>18</v>
      </c>
      <c r="J169" s="10">
        <f t="shared" si="3"/>
        <v>0.1300683348</v>
      </c>
    </row>
    <row r="170" ht="14.25" customHeight="1">
      <c r="A170" s="6">
        <v>43953.0</v>
      </c>
      <c r="B170" s="7" t="s">
        <v>17</v>
      </c>
      <c r="C170" s="7">
        <v>46216.5</v>
      </c>
      <c r="D170" s="7">
        <v>4118251.5</v>
      </c>
      <c r="E170" s="8">
        <f t="array" ref="E170">INDEX('Лист2'!$C$2:$C$505, MATCH(A170&amp;B170, 'Лист2'!$A$2:$A$505&amp;'Лист2'!$B$2:$B$505, 0))</f>
        <v>36</v>
      </c>
      <c r="F170" s="8">
        <f t="array" ref="F170">INDEX('Лист2'!$D$2:$D$505, MATCH(A170&amp;B170, 'Лист2'!$A$2:$A$505&amp;'Лист2'!$B$2:$B$505, 0))</f>
        <v>3442</v>
      </c>
      <c r="G170" s="8">
        <f t="array" ref="G170">INDEX('Лист2'!$E$2:$E$505, MATCH(A170&amp;B170, 'Лист2'!$A$2:$A$505&amp;'Лист2'!$B$2:$B$505, 0))</f>
        <v>3147</v>
      </c>
      <c r="H170" s="9">
        <f t="shared" si="1"/>
        <v>1283.791667</v>
      </c>
      <c r="I170" s="9">
        <f t="shared" si="2"/>
        <v>18</v>
      </c>
      <c r="J170" s="10">
        <f t="shared" si="3"/>
        <v>0.08298979014</v>
      </c>
    </row>
    <row r="171" ht="14.25" customHeight="1">
      <c r="A171" s="11">
        <v>43977.0</v>
      </c>
      <c r="B171" s="12" t="s">
        <v>17</v>
      </c>
      <c r="C171" s="12">
        <v>67726.5</v>
      </c>
      <c r="D171" s="12">
        <v>5864989.5</v>
      </c>
      <c r="E171" s="8">
        <f t="array" ref="E171">INDEX('Лист2'!$C$2:$C$505, MATCH(A171&amp;B171, 'Лист2'!$A$2:$A$505&amp;'Лист2'!$B$2:$B$505, 0))</f>
        <v>36</v>
      </c>
      <c r="F171" s="8">
        <f t="array" ref="F171">INDEX('Лист2'!$D$2:$D$505, MATCH(A171&amp;B171, 'Лист2'!$A$2:$A$505&amp;'Лист2'!$B$2:$B$505, 0))</f>
        <v>4770</v>
      </c>
      <c r="G171" s="8">
        <f t="array" ref="G171">INDEX('Лист2'!$E$2:$E$505, MATCH(A171&amp;B171, 'Лист2'!$A$2:$A$505&amp;'Лист2'!$B$2:$B$505, 0))</f>
        <v>4424</v>
      </c>
      <c r="H171" s="9">
        <f t="shared" si="1"/>
        <v>1881.291667</v>
      </c>
      <c r="I171" s="9">
        <f t="shared" si="2"/>
        <v>22</v>
      </c>
      <c r="J171" s="10">
        <f t="shared" si="3"/>
        <v>0.1181895394</v>
      </c>
    </row>
    <row r="172" ht="14.25" customHeight="1">
      <c r="A172" s="6">
        <v>43952.0</v>
      </c>
      <c r="B172" s="7" t="s">
        <v>17</v>
      </c>
      <c r="C172" s="7">
        <v>82228.5</v>
      </c>
      <c r="D172" s="7">
        <v>7032225.0</v>
      </c>
      <c r="E172" s="8">
        <f t="array" ref="E172">INDEX('Лист2'!$C$2:$C$505, MATCH(A172&amp;B172, 'Лист2'!$A$2:$A$505&amp;'Лист2'!$B$2:$B$505, 0))</f>
        <v>36</v>
      </c>
      <c r="F172" s="8">
        <f t="array" ref="F172">INDEX('Лист2'!$D$2:$D$505, MATCH(A172&amp;B172, 'Лист2'!$A$2:$A$505&amp;'Лист2'!$B$2:$B$505, 0))</f>
        <v>5457</v>
      </c>
      <c r="G172" s="8">
        <f t="array" ref="G172">INDEX('Лист2'!$E$2:$E$505, MATCH(A172&amp;B172, 'Лист2'!$A$2:$A$505&amp;'Лист2'!$B$2:$B$505, 0))</f>
        <v>4916</v>
      </c>
      <c r="H172" s="9">
        <f t="shared" si="1"/>
        <v>2284.125</v>
      </c>
      <c r="I172" s="9">
        <f t="shared" si="2"/>
        <v>18</v>
      </c>
      <c r="J172" s="10">
        <f t="shared" si="3"/>
        <v>0.141711325</v>
      </c>
    </row>
    <row r="173" ht="14.25" customHeight="1">
      <c r="A173" s="11">
        <v>43963.0</v>
      </c>
      <c r="B173" s="12" t="s">
        <v>17</v>
      </c>
      <c r="C173" s="12">
        <v>64390.5</v>
      </c>
      <c r="D173" s="12">
        <v>5523145.5</v>
      </c>
      <c r="E173" s="8">
        <f t="array" ref="E173">INDEX('Лист2'!$C$2:$C$505, MATCH(A173&amp;B173, 'Лист2'!$A$2:$A$505&amp;'Лист2'!$B$2:$B$505, 0))</f>
        <v>36</v>
      </c>
      <c r="F173" s="8">
        <f t="array" ref="F173">INDEX('Лист2'!$D$2:$D$505, MATCH(A173&amp;B173, 'Лист2'!$A$2:$A$505&amp;'Лист2'!$B$2:$B$505, 0))</f>
        <v>4418</v>
      </c>
      <c r="G173" s="8">
        <f t="array" ref="G173">INDEX('Лист2'!$E$2:$E$505, MATCH(A173&amp;B173, 'Лист2'!$A$2:$A$505&amp;'Лист2'!$B$2:$B$505, 0))</f>
        <v>4088</v>
      </c>
      <c r="H173" s="9">
        <f t="shared" si="1"/>
        <v>1788.625</v>
      </c>
      <c r="I173" s="9">
        <f t="shared" si="2"/>
        <v>20</v>
      </c>
      <c r="J173" s="10">
        <f t="shared" si="3"/>
        <v>0.1113007998</v>
      </c>
    </row>
    <row r="174" ht="14.25" customHeight="1">
      <c r="A174" s="6">
        <v>43972.0</v>
      </c>
      <c r="B174" s="7" t="s">
        <v>17</v>
      </c>
      <c r="C174" s="7">
        <v>73126.5</v>
      </c>
      <c r="D174" s="7">
        <v>5864085.0</v>
      </c>
      <c r="E174" s="8">
        <f t="array" ref="E174">INDEX('Лист2'!$C$2:$C$505, MATCH(A174&amp;B174, 'Лист2'!$A$2:$A$505&amp;'Лист2'!$B$2:$B$505, 0))</f>
        <v>36</v>
      </c>
      <c r="F174" s="8">
        <f t="array" ref="F174">INDEX('Лист2'!$D$2:$D$505, MATCH(A174&amp;B174, 'Лист2'!$A$2:$A$505&amp;'Лист2'!$B$2:$B$505, 0))</f>
        <v>4816</v>
      </c>
      <c r="G174" s="8">
        <f t="array" ref="G174">INDEX('Лист2'!$E$2:$E$505, MATCH(A174&amp;B174, 'Лист2'!$A$2:$A$505&amp;'Лист2'!$B$2:$B$505, 0))</f>
        <v>4452</v>
      </c>
      <c r="H174" s="9">
        <f t="shared" si="1"/>
        <v>2031.291667</v>
      </c>
      <c r="I174" s="9">
        <f t="shared" si="2"/>
        <v>21</v>
      </c>
      <c r="J174" s="10">
        <f t="shared" si="3"/>
        <v>0.1181713121</v>
      </c>
    </row>
    <row r="175" ht="14.25" customHeight="1">
      <c r="A175" s="11">
        <v>43971.0</v>
      </c>
      <c r="B175" s="12" t="s">
        <v>17</v>
      </c>
      <c r="C175" s="12">
        <v>99631.5</v>
      </c>
      <c r="D175" s="12">
        <v>7121946.0</v>
      </c>
      <c r="E175" s="8">
        <f t="array" ref="E175">INDEX('Лист2'!$C$2:$C$505, MATCH(A175&amp;B175, 'Лист2'!$A$2:$A$505&amp;'Лист2'!$B$2:$B$505, 0))</f>
        <v>36</v>
      </c>
      <c r="F175" s="8">
        <f t="array" ref="F175">INDEX('Лист2'!$D$2:$D$505, MATCH(A175&amp;B175, 'Лист2'!$A$2:$A$505&amp;'Лист2'!$B$2:$B$505, 0))</f>
        <v>5914</v>
      </c>
      <c r="G175" s="8">
        <f t="array" ref="G175">INDEX('Лист2'!$E$2:$E$505, MATCH(A175&amp;B175, 'Лист2'!$A$2:$A$505&amp;'Лист2'!$B$2:$B$505, 0))</f>
        <v>5384</v>
      </c>
      <c r="H175" s="9">
        <f t="shared" si="1"/>
        <v>2767.541667</v>
      </c>
      <c r="I175" s="9">
        <f t="shared" si="2"/>
        <v>21</v>
      </c>
      <c r="J175" s="10">
        <f t="shared" si="3"/>
        <v>0.1435193562</v>
      </c>
    </row>
    <row r="176" ht="14.25" customHeight="1">
      <c r="A176" s="6">
        <v>43956.0</v>
      </c>
      <c r="B176" s="7" t="s">
        <v>17</v>
      </c>
      <c r="C176" s="7">
        <v>66396.0</v>
      </c>
      <c r="D176" s="7">
        <v>5770539.0</v>
      </c>
      <c r="E176" s="8">
        <f t="array" ref="E176">INDEX('Лист2'!$C$2:$C$505, MATCH(A176&amp;B176, 'Лист2'!$A$2:$A$505&amp;'Лист2'!$B$2:$B$505, 0))</f>
        <v>36</v>
      </c>
      <c r="F176" s="8">
        <f t="array" ref="F176">INDEX('Лист2'!$D$2:$D$505, MATCH(A176&amp;B176, 'Лист2'!$A$2:$A$505&amp;'Лист2'!$B$2:$B$505, 0))</f>
        <v>4575</v>
      </c>
      <c r="G176" s="8">
        <f t="array" ref="G176">INDEX('Лист2'!$E$2:$E$505, MATCH(A176&amp;B176, 'Лист2'!$A$2:$A$505&amp;'Лист2'!$B$2:$B$505, 0))</f>
        <v>4206</v>
      </c>
      <c r="H176" s="9">
        <f t="shared" si="1"/>
        <v>1844.333333</v>
      </c>
      <c r="I176" s="9">
        <f t="shared" si="2"/>
        <v>19</v>
      </c>
      <c r="J176" s="10">
        <f t="shared" si="3"/>
        <v>0.1162862007</v>
      </c>
    </row>
    <row r="177" ht="14.25" customHeight="1">
      <c r="A177" s="11">
        <v>43949.0</v>
      </c>
      <c r="B177" s="12" t="s">
        <v>17</v>
      </c>
      <c r="C177" s="12">
        <v>73147.5</v>
      </c>
      <c r="D177" s="12">
        <v>6288246.0</v>
      </c>
      <c r="E177" s="8">
        <f t="array" ref="E177">INDEX('Лист2'!$C$2:$C$505, MATCH(A177&amp;B177, 'Лист2'!$A$2:$A$505&amp;'Лист2'!$B$2:$B$505, 0))</f>
        <v>36</v>
      </c>
      <c r="F177" s="8">
        <f t="array" ref="F177">INDEX('Лист2'!$D$2:$D$505, MATCH(A177&amp;B177, 'Лист2'!$A$2:$A$505&amp;'Лист2'!$B$2:$B$505, 0))</f>
        <v>4923</v>
      </c>
      <c r="G177" s="8">
        <f t="array" ref="G177">INDEX('Лист2'!$E$2:$E$505, MATCH(A177&amp;B177, 'Лист2'!$A$2:$A$505&amp;'Лист2'!$B$2:$B$505, 0))</f>
        <v>4560</v>
      </c>
      <c r="H177" s="9">
        <f t="shared" si="1"/>
        <v>2031.875</v>
      </c>
      <c r="I177" s="9">
        <f t="shared" si="2"/>
        <v>18</v>
      </c>
      <c r="J177" s="10">
        <f t="shared" si="3"/>
        <v>0.1267188796</v>
      </c>
    </row>
    <row r="178" ht="14.25" customHeight="1">
      <c r="A178" s="6">
        <v>43964.0</v>
      </c>
      <c r="B178" s="7" t="s">
        <v>17</v>
      </c>
      <c r="C178" s="7">
        <v>73062.0</v>
      </c>
      <c r="D178" s="7">
        <v>6333828.0</v>
      </c>
      <c r="E178" s="8">
        <f t="array" ref="E178">INDEX('Лист2'!$C$2:$C$505, MATCH(A178&amp;B178, 'Лист2'!$A$2:$A$505&amp;'Лист2'!$B$2:$B$505, 0))</f>
        <v>36</v>
      </c>
      <c r="F178" s="8">
        <f t="array" ref="F178">INDEX('Лист2'!$D$2:$D$505, MATCH(A178&amp;B178, 'Лист2'!$A$2:$A$505&amp;'Лист2'!$B$2:$B$505, 0))</f>
        <v>4967</v>
      </c>
      <c r="G178" s="8">
        <f t="array" ref="G178">INDEX('Лист2'!$E$2:$E$505, MATCH(A178&amp;B178, 'Лист2'!$A$2:$A$505&amp;'Лист2'!$B$2:$B$505, 0))</f>
        <v>4583</v>
      </c>
      <c r="H178" s="9">
        <f t="shared" si="1"/>
        <v>2029.5</v>
      </c>
      <c r="I178" s="9">
        <f t="shared" si="2"/>
        <v>20</v>
      </c>
      <c r="J178" s="10">
        <f t="shared" si="3"/>
        <v>0.1276374346</v>
      </c>
    </row>
    <row r="179" ht="14.25" customHeight="1">
      <c r="A179" s="11">
        <v>43982.0</v>
      </c>
      <c r="B179" s="12" t="s">
        <v>16</v>
      </c>
      <c r="C179" s="12">
        <v>379663.5</v>
      </c>
      <c r="D179" s="12">
        <v>3.9380178E7</v>
      </c>
      <c r="E179" s="8">
        <f t="array" ref="E179">INDEX('Лист2'!$C$2:$C$505, MATCH(A179&amp;B179, 'Лист2'!$A$2:$A$505&amp;'Лист2'!$B$2:$B$505, 0))</f>
        <v>124</v>
      </c>
      <c r="F179" s="8">
        <f t="array" ref="F179">INDEX('Лист2'!$D$2:$D$505, MATCH(A179&amp;B179, 'Лист2'!$A$2:$A$505&amp;'Лист2'!$B$2:$B$505, 0))</f>
        <v>21392</v>
      </c>
      <c r="G179" s="8">
        <f t="array" ref="G179">INDEX('Лист2'!$E$2:$E$505, MATCH(A179&amp;B179, 'Лист2'!$A$2:$A$505&amp;'Лист2'!$B$2:$B$505, 0))</f>
        <v>19869</v>
      </c>
      <c r="H179" s="9">
        <f t="shared" si="1"/>
        <v>3061.802419</v>
      </c>
      <c r="I179" s="9">
        <f t="shared" si="2"/>
        <v>22</v>
      </c>
      <c r="J179" s="10">
        <f t="shared" si="3"/>
        <v>0.7935777375</v>
      </c>
    </row>
    <row r="180" ht="14.25" customHeight="1">
      <c r="A180" s="6">
        <v>43954.0</v>
      </c>
      <c r="B180" s="7" t="s">
        <v>17</v>
      </c>
      <c r="C180" s="7">
        <v>70581.0</v>
      </c>
      <c r="D180" s="7">
        <v>6221320.5</v>
      </c>
      <c r="E180" s="8">
        <f t="array" ref="E180">INDEX('Лист2'!$C$2:$C$505, MATCH(A180&amp;B180, 'Лист2'!$A$2:$A$505&amp;'Лист2'!$B$2:$B$505, 0))</f>
        <v>36</v>
      </c>
      <c r="F180" s="8">
        <f t="array" ref="F180">INDEX('Лист2'!$D$2:$D$505, MATCH(A180&amp;B180, 'Лист2'!$A$2:$A$505&amp;'Лист2'!$B$2:$B$505, 0))</f>
        <v>4751</v>
      </c>
      <c r="G180" s="8">
        <f t="array" ref="G180">INDEX('Лист2'!$E$2:$E$505, MATCH(A180&amp;B180, 'Лист2'!$A$2:$A$505&amp;'Лист2'!$B$2:$B$505, 0))</f>
        <v>4370</v>
      </c>
      <c r="H180" s="9">
        <f t="shared" si="1"/>
        <v>1960.583333</v>
      </c>
      <c r="I180" s="9">
        <f t="shared" si="2"/>
        <v>18</v>
      </c>
      <c r="J180" s="10">
        <f t="shared" si="3"/>
        <v>0.1253702166</v>
      </c>
    </row>
    <row r="181" ht="14.25" customHeight="1">
      <c r="A181" s="11">
        <v>43981.0</v>
      </c>
      <c r="B181" s="12" t="s">
        <v>16</v>
      </c>
      <c r="C181" s="12">
        <v>453123.0</v>
      </c>
      <c r="D181" s="12">
        <v>4.6370904E7</v>
      </c>
      <c r="E181" s="8">
        <f t="array" ref="E181">INDEX('Лист2'!$C$2:$C$505, MATCH(A181&amp;B181, 'Лист2'!$A$2:$A$505&amp;'Лист2'!$B$2:$B$505, 0))</f>
        <v>124</v>
      </c>
      <c r="F181" s="8">
        <f t="array" ref="F181">INDEX('Лист2'!$D$2:$D$505, MATCH(A181&amp;B181, 'Лист2'!$A$2:$A$505&amp;'Лист2'!$B$2:$B$505, 0))</f>
        <v>24325</v>
      </c>
      <c r="G181" s="8">
        <f t="array" ref="G181">INDEX('Лист2'!$E$2:$E$505, MATCH(A181&amp;B181, 'Лист2'!$A$2:$A$505&amp;'Лист2'!$B$2:$B$505, 0))</f>
        <v>22469</v>
      </c>
      <c r="H181" s="9">
        <f t="shared" si="1"/>
        <v>3654.217742</v>
      </c>
      <c r="I181" s="9">
        <f t="shared" si="2"/>
        <v>22</v>
      </c>
      <c r="J181" s="10">
        <f t="shared" si="3"/>
        <v>0.9344527869</v>
      </c>
    </row>
    <row r="182" ht="14.25" customHeight="1">
      <c r="A182" s="6">
        <v>43957.0</v>
      </c>
      <c r="B182" s="7" t="s">
        <v>17</v>
      </c>
      <c r="C182" s="7">
        <v>63012.0</v>
      </c>
      <c r="D182" s="7">
        <v>5454121.5</v>
      </c>
      <c r="E182" s="8">
        <f t="array" ref="E182">INDEX('Лист2'!$C$2:$C$505, MATCH(A182&amp;B182, 'Лист2'!$A$2:$A$505&amp;'Лист2'!$B$2:$B$505, 0))</f>
        <v>36</v>
      </c>
      <c r="F182" s="8">
        <f t="array" ref="F182">INDEX('Лист2'!$D$2:$D$505, MATCH(A182&amp;B182, 'Лист2'!$A$2:$A$505&amp;'Лист2'!$B$2:$B$505, 0))</f>
        <v>4384</v>
      </c>
      <c r="G182" s="8">
        <f t="array" ref="G182">INDEX('Лист2'!$E$2:$E$505, MATCH(A182&amp;B182, 'Лист2'!$A$2:$A$505&amp;'Лист2'!$B$2:$B$505, 0))</f>
        <v>4025</v>
      </c>
      <c r="H182" s="9">
        <f t="shared" si="1"/>
        <v>1750.333333</v>
      </c>
      <c r="I182" s="9">
        <f t="shared" si="2"/>
        <v>19</v>
      </c>
      <c r="J182" s="10">
        <f t="shared" si="3"/>
        <v>0.1099098486</v>
      </c>
    </row>
    <row r="183" ht="14.25" customHeight="1">
      <c r="A183" s="11">
        <v>43974.0</v>
      </c>
      <c r="B183" s="12" t="s">
        <v>17</v>
      </c>
      <c r="C183" s="12">
        <v>89556.0</v>
      </c>
      <c r="D183" s="12">
        <v>7173117.0</v>
      </c>
      <c r="E183" s="8">
        <f t="array" ref="E183">INDEX('Лист2'!$C$2:$C$505, MATCH(A183&amp;B183, 'Лист2'!$A$2:$A$505&amp;'Лист2'!$B$2:$B$505, 0))</f>
        <v>36</v>
      </c>
      <c r="F183" s="8">
        <f t="array" ref="F183">INDEX('Лист2'!$D$2:$D$505, MATCH(A183&amp;B183, 'Лист2'!$A$2:$A$505&amp;'Лист2'!$B$2:$B$505, 0))</f>
        <v>5651</v>
      </c>
      <c r="G183" s="8">
        <f t="array" ref="G183">INDEX('Лист2'!$E$2:$E$505, MATCH(A183&amp;B183, 'Лист2'!$A$2:$A$505&amp;'Лист2'!$B$2:$B$505, 0))</f>
        <v>5212</v>
      </c>
      <c r="H183" s="9">
        <f t="shared" si="1"/>
        <v>2487.666667</v>
      </c>
      <c r="I183" s="9">
        <f t="shared" si="2"/>
        <v>21</v>
      </c>
      <c r="J183" s="10">
        <f t="shared" si="3"/>
        <v>0.1445505391</v>
      </c>
    </row>
    <row r="184" ht="14.25" customHeight="1">
      <c r="A184" s="6">
        <v>43979.0</v>
      </c>
      <c r="B184" s="7" t="s">
        <v>16</v>
      </c>
      <c r="C184" s="7">
        <v>364638.0</v>
      </c>
      <c r="D184" s="7">
        <v>3.79476885E7</v>
      </c>
      <c r="E184" s="8">
        <f t="array" ref="E184">INDEX('Лист2'!$C$2:$C$505, MATCH(A184&amp;B184, 'Лист2'!$A$2:$A$505&amp;'Лист2'!$B$2:$B$505, 0))</f>
        <v>124</v>
      </c>
      <c r="F184" s="8">
        <f t="array" ref="F184">INDEX('Лист2'!$D$2:$D$505, MATCH(A184&amp;B184, 'Лист2'!$A$2:$A$505&amp;'Лист2'!$B$2:$B$505, 0))</f>
        <v>20868</v>
      </c>
      <c r="G184" s="8">
        <f t="array" ref="G184">INDEX('Лист2'!$E$2:$E$505, MATCH(A184&amp;B184, 'Лист2'!$A$2:$A$505&amp;'Лист2'!$B$2:$B$505, 0))</f>
        <v>19342</v>
      </c>
      <c r="H184" s="9">
        <f t="shared" si="1"/>
        <v>2940.629032</v>
      </c>
      <c r="I184" s="9">
        <f t="shared" si="2"/>
        <v>22</v>
      </c>
      <c r="J184" s="10">
        <f t="shared" si="3"/>
        <v>0.7647106314</v>
      </c>
    </row>
    <row r="185" ht="14.25" customHeight="1">
      <c r="A185" s="11">
        <v>43976.0</v>
      </c>
      <c r="B185" s="12" t="s">
        <v>17</v>
      </c>
      <c r="C185" s="12">
        <v>66316.5</v>
      </c>
      <c r="D185" s="12">
        <v>5704650.0</v>
      </c>
      <c r="E185" s="8">
        <f t="array" ref="E185">INDEX('Лист2'!$C$2:$C$505, MATCH(A185&amp;B185, 'Лист2'!$A$2:$A$505&amp;'Лист2'!$B$2:$B$505, 0))</f>
        <v>36</v>
      </c>
      <c r="F185" s="8">
        <f t="array" ref="F185">INDEX('Лист2'!$D$2:$D$505, MATCH(A185&amp;B185, 'Лист2'!$A$2:$A$505&amp;'Лист2'!$B$2:$B$505, 0))</f>
        <v>4641</v>
      </c>
      <c r="G185" s="8">
        <f t="array" ref="G185">INDEX('Лист2'!$E$2:$E$505, MATCH(A185&amp;B185, 'Лист2'!$A$2:$A$505&amp;'Лист2'!$B$2:$B$505, 0))</f>
        <v>4274</v>
      </c>
      <c r="H185" s="9">
        <f t="shared" si="1"/>
        <v>1842.125</v>
      </c>
      <c r="I185" s="9">
        <f t="shared" si="2"/>
        <v>22</v>
      </c>
      <c r="J185" s="10">
        <f t="shared" si="3"/>
        <v>0.114958425</v>
      </c>
    </row>
    <row r="186" ht="14.25" customHeight="1">
      <c r="A186" s="6">
        <v>43951.0</v>
      </c>
      <c r="B186" s="7" t="s">
        <v>17</v>
      </c>
      <c r="C186" s="7">
        <v>78235.5</v>
      </c>
      <c r="D186" s="7">
        <v>6819594.0</v>
      </c>
      <c r="E186" s="8">
        <f t="array" ref="E186">INDEX('Лист2'!$C$2:$C$505, MATCH(A186&amp;B186, 'Лист2'!$A$2:$A$505&amp;'Лист2'!$B$2:$B$505, 0))</f>
        <v>36</v>
      </c>
      <c r="F186" s="8">
        <f t="array" ref="F186">INDEX('Лист2'!$D$2:$D$505, MATCH(A186&amp;B186, 'Лист2'!$A$2:$A$505&amp;'Лист2'!$B$2:$B$505, 0))</f>
        <v>5143</v>
      </c>
      <c r="G186" s="8">
        <f t="array" ref="G186">INDEX('Лист2'!$E$2:$E$505, MATCH(A186&amp;B186, 'Лист2'!$A$2:$A$505&amp;'Лист2'!$B$2:$B$505, 0))</f>
        <v>4715</v>
      </c>
      <c r="H186" s="9">
        <f t="shared" si="1"/>
        <v>2173.208333</v>
      </c>
      <c r="I186" s="9">
        <f t="shared" si="2"/>
        <v>18</v>
      </c>
      <c r="J186" s="10">
        <f t="shared" si="3"/>
        <v>0.1374264478</v>
      </c>
    </row>
    <row r="187" ht="14.25" customHeight="1">
      <c r="A187" s="11">
        <v>43961.0</v>
      </c>
      <c r="B187" s="12" t="s">
        <v>17</v>
      </c>
      <c r="C187" s="12">
        <v>88311.0</v>
      </c>
      <c r="D187" s="12">
        <v>7726069.5</v>
      </c>
      <c r="E187" s="8">
        <f t="array" ref="E187">INDEX('Лист2'!$C$2:$C$505, MATCH(A187&amp;B187, 'Лист2'!$A$2:$A$505&amp;'Лист2'!$B$2:$B$505, 0))</f>
        <v>36</v>
      </c>
      <c r="F187" s="8">
        <f t="array" ref="F187">INDEX('Лист2'!$D$2:$D$505, MATCH(A187&amp;B187, 'Лист2'!$A$2:$A$505&amp;'Лист2'!$B$2:$B$505, 0))</f>
        <v>5746</v>
      </c>
      <c r="G187" s="8">
        <f t="array" ref="G187">INDEX('Лист2'!$E$2:$E$505, MATCH(A187&amp;B187, 'Лист2'!$A$2:$A$505&amp;'Лист2'!$B$2:$B$505, 0))</f>
        <v>5277</v>
      </c>
      <c r="H187" s="9">
        <f t="shared" si="1"/>
        <v>2453.083333</v>
      </c>
      <c r="I187" s="9">
        <f t="shared" si="2"/>
        <v>19</v>
      </c>
      <c r="J187" s="10">
        <f t="shared" si="3"/>
        <v>0.1556934749</v>
      </c>
    </row>
    <row r="188" ht="14.25" customHeight="1">
      <c r="A188" s="6">
        <v>43959.0</v>
      </c>
      <c r="B188" s="7" t="s">
        <v>17</v>
      </c>
      <c r="C188" s="7">
        <v>61804.5</v>
      </c>
      <c r="D188" s="7">
        <v>5365708.5</v>
      </c>
      <c r="E188" s="8">
        <f t="array" ref="E188">INDEX('Лист2'!$C$2:$C$505, MATCH(A188&amp;B188, 'Лист2'!$A$2:$A$505&amp;'Лист2'!$B$2:$B$505, 0))</f>
        <v>36</v>
      </c>
      <c r="F188" s="8">
        <f t="array" ref="F188">INDEX('Лист2'!$D$2:$D$505, MATCH(A188&amp;B188, 'Лист2'!$A$2:$A$505&amp;'Лист2'!$B$2:$B$505, 0))</f>
        <v>4199</v>
      </c>
      <c r="G188" s="8">
        <f t="array" ref="G188">INDEX('Лист2'!$E$2:$E$505, MATCH(A188&amp;B188, 'Лист2'!$A$2:$A$505&amp;'Лист2'!$B$2:$B$505, 0))</f>
        <v>3867</v>
      </c>
      <c r="H188" s="9">
        <f t="shared" si="1"/>
        <v>1716.791667</v>
      </c>
      <c r="I188" s="9">
        <f t="shared" si="2"/>
        <v>19</v>
      </c>
      <c r="J188" s="10">
        <f t="shared" si="3"/>
        <v>0.1081281758</v>
      </c>
    </row>
    <row r="189" ht="14.25" customHeight="1">
      <c r="A189" s="11">
        <v>43958.0</v>
      </c>
      <c r="B189" s="12" t="s">
        <v>17</v>
      </c>
      <c r="C189" s="12">
        <v>71067.0</v>
      </c>
      <c r="D189" s="12">
        <v>6175837.5</v>
      </c>
      <c r="E189" s="8">
        <f t="array" ref="E189">INDEX('Лист2'!$C$2:$C$505, MATCH(A189&amp;B189, 'Лист2'!$A$2:$A$505&amp;'Лист2'!$B$2:$B$505, 0))</f>
        <v>36</v>
      </c>
      <c r="F189" s="8">
        <f t="array" ref="F189">INDEX('Лист2'!$D$2:$D$505, MATCH(A189&amp;B189, 'Лист2'!$A$2:$A$505&amp;'Лист2'!$B$2:$B$505, 0))</f>
        <v>4826</v>
      </c>
      <c r="G189" s="8">
        <f t="array" ref="G189">INDEX('Лист2'!$E$2:$E$505, MATCH(A189&amp;B189, 'Лист2'!$A$2:$A$505&amp;'Лист2'!$B$2:$B$505, 0))</f>
        <v>4426</v>
      </c>
      <c r="H189" s="9">
        <f t="shared" si="1"/>
        <v>1974.083333</v>
      </c>
      <c r="I189" s="9">
        <f t="shared" si="2"/>
        <v>19</v>
      </c>
      <c r="J189" s="10">
        <f t="shared" si="3"/>
        <v>0.1244536566</v>
      </c>
    </row>
    <row r="190" ht="14.25" customHeight="1">
      <c r="A190" s="6">
        <v>43975.0</v>
      </c>
      <c r="B190" s="7" t="s">
        <v>17</v>
      </c>
      <c r="C190" s="7">
        <v>74649.0</v>
      </c>
      <c r="D190" s="7">
        <v>6098236.5</v>
      </c>
      <c r="E190" s="8">
        <f t="array" ref="E190">INDEX('Лист2'!$C$2:$C$505, MATCH(A190&amp;B190, 'Лист2'!$A$2:$A$505&amp;'Лист2'!$B$2:$B$505, 0))</f>
        <v>36</v>
      </c>
      <c r="F190" s="8">
        <f t="array" ref="F190">INDEX('Лист2'!$D$2:$D$505, MATCH(A190&amp;B190, 'Лист2'!$A$2:$A$505&amp;'Лист2'!$B$2:$B$505, 0))</f>
        <v>4915</v>
      </c>
      <c r="G190" s="8">
        <f t="array" ref="G190">INDEX('Лист2'!$E$2:$E$505, MATCH(A190&amp;B190, 'Лист2'!$A$2:$A$505&amp;'Лист2'!$B$2:$B$505, 0))</f>
        <v>4562</v>
      </c>
      <c r="H190" s="9">
        <f t="shared" si="1"/>
        <v>2073.583333</v>
      </c>
      <c r="I190" s="9">
        <f t="shared" si="2"/>
        <v>21</v>
      </c>
      <c r="J190" s="10">
        <f t="shared" si="3"/>
        <v>0.1228898641</v>
      </c>
    </row>
    <row r="191" ht="14.25" customHeight="1">
      <c r="A191" s="11">
        <v>43967.0</v>
      </c>
      <c r="B191" s="12" t="s">
        <v>18</v>
      </c>
      <c r="C191" s="12">
        <v>44560.5</v>
      </c>
      <c r="D191" s="12">
        <v>4025148.0</v>
      </c>
      <c r="E191" s="8">
        <f t="array" ref="E191">INDEX('Лист2'!$C$2:$C$505, MATCH(A191&amp;B191, 'Лист2'!$A$2:$A$505&amp;'Лист2'!$B$2:$B$505, 0))</f>
        <v>21</v>
      </c>
      <c r="F191" s="8">
        <f t="array" ref="F191">INDEX('Лист2'!$D$2:$D$505, MATCH(A191&amp;B191, 'Лист2'!$A$2:$A$505&amp;'Лист2'!$B$2:$B$505, 0))</f>
        <v>2427</v>
      </c>
      <c r="G191" s="8">
        <f t="array" ref="G191">INDEX('Лист2'!$E$2:$E$505, MATCH(A191&amp;B191, 'Лист2'!$A$2:$A$505&amp;'Лист2'!$B$2:$B$505, 0))</f>
        <v>2213</v>
      </c>
      <c r="H191" s="9">
        <f t="shared" si="1"/>
        <v>2121.928571</v>
      </c>
      <c r="I191" s="9">
        <f t="shared" si="2"/>
        <v>20</v>
      </c>
      <c r="J191" s="10">
        <f t="shared" si="3"/>
        <v>0.08111359585</v>
      </c>
    </row>
    <row r="192" ht="14.25" customHeight="1">
      <c r="A192" s="6">
        <v>43970.0</v>
      </c>
      <c r="B192" s="7" t="s">
        <v>18</v>
      </c>
      <c r="C192" s="7">
        <v>38250.0</v>
      </c>
      <c r="D192" s="7">
        <v>3552937.5</v>
      </c>
      <c r="E192" s="8">
        <f t="array" ref="E192">INDEX('Лист2'!$C$2:$C$505, MATCH(A192&amp;B192, 'Лист2'!$A$2:$A$505&amp;'Лист2'!$B$2:$B$505, 0))</f>
        <v>21</v>
      </c>
      <c r="F192" s="8">
        <f t="array" ref="F192">INDEX('Лист2'!$D$2:$D$505, MATCH(A192&amp;B192, 'Лист2'!$A$2:$A$505&amp;'Лист2'!$B$2:$B$505, 0))</f>
        <v>2245</v>
      </c>
      <c r="G192" s="8">
        <f t="array" ref="G192">INDEX('Лист2'!$E$2:$E$505, MATCH(A192&amp;B192, 'Лист2'!$A$2:$A$505&amp;'Лист2'!$B$2:$B$505, 0))</f>
        <v>2053</v>
      </c>
      <c r="H192" s="9">
        <f t="shared" si="1"/>
        <v>1821.428571</v>
      </c>
      <c r="I192" s="9">
        <f t="shared" si="2"/>
        <v>21</v>
      </c>
      <c r="J192" s="10">
        <f t="shared" si="3"/>
        <v>0.07159774907</v>
      </c>
    </row>
    <row r="193" ht="14.25" customHeight="1">
      <c r="A193" s="11">
        <v>43968.0</v>
      </c>
      <c r="B193" s="12" t="s">
        <v>18</v>
      </c>
      <c r="C193" s="12">
        <v>34830.0</v>
      </c>
      <c r="D193" s="12">
        <v>3191155.5</v>
      </c>
      <c r="E193" s="8">
        <f t="array" ref="E193">INDEX('Лист2'!$C$2:$C$505, MATCH(A193&amp;B193, 'Лист2'!$A$2:$A$505&amp;'Лист2'!$B$2:$B$505, 0))</f>
        <v>21</v>
      </c>
      <c r="F193" s="8">
        <f t="array" ref="F193">INDEX('Лист2'!$D$2:$D$505, MATCH(A193&amp;B193, 'Лист2'!$A$2:$A$505&amp;'Лист2'!$B$2:$B$505, 0))</f>
        <v>2054</v>
      </c>
      <c r="G193" s="8">
        <f t="array" ref="G193">INDEX('Лист2'!$E$2:$E$505, MATCH(A193&amp;B193, 'Лист2'!$A$2:$A$505&amp;'Лист2'!$B$2:$B$505, 0))</f>
        <v>1883</v>
      </c>
      <c r="H193" s="9">
        <f t="shared" si="1"/>
        <v>1658.571429</v>
      </c>
      <c r="I193" s="9">
        <f t="shared" si="2"/>
        <v>20</v>
      </c>
      <c r="J193" s="10">
        <f t="shared" si="3"/>
        <v>0.06430722486</v>
      </c>
    </row>
    <row r="194" ht="14.25" customHeight="1">
      <c r="A194" s="6">
        <v>43960.0</v>
      </c>
      <c r="B194" s="7" t="s">
        <v>18</v>
      </c>
      <c r="C194" s="7">
        <v>32239.5</v>
      </c>
      <c r="D194" s="7">
        <v>3084892.5</v>
      </c>
      <c r="E194" s="8">
        <f t="array" ref="E194">INDEX('Лист2'!$C$2:$C$505, MATCH(A194&amp;B194, 'Лист2'!$A$2:$A$505&amp;'Лист2'!$B$2:$B$505, 0))</f>
        <v>21</v>
      </c>
      <c r="F194" s="8">
        <f t="array" ref="F194">INDEX('Лист2'!$D$2:$D$505, MATCH(A194&amp;B194, 'Лист2'!$A$2:$A$505&amp;'Лист2'!$B$2:$B$505, 0))</f>
        <v>1891</v>
      </c>
      <c r="G194" s="8">
        <f t="array" ref="G194">INDEX('Лист2'!$E$2:$E$505, MATCH(A194&amp;B194, 'Лист2'!$A$2:$A$505&amp;'Лист2'!$B$2:$B$505, 0))</f>
        <v>1709</v>
      </c>
      <c r="H194" s="9">
        <f t="shared" si="1"/>
        <v>1535.214286</v>
      </c>
      <c r="I194" s="9">
        <f t="shared" si="2"/>
        <v>19</v>
      </c>
      <c r="J194" s="10">
        <f t="shared" si="3"/>
        <v>0.06216584421</v>
      </c>
    </row>
    <row r="195" ht="14.25" customHeight="1">
      <c r="A195" s="11">
        <v>43955.0</v>
      </c>
      <c r="B195" s="12" t="s">
        <v>18</v>
      </c>
      <c r="C195" s="12">
        <v>30780.0</v>
      </c>
      <c r="D195" s="12">
        <v>2817853.5</v>
      </c>
      <c r="E195" s="8">
        <f t="array" ref="E195">INDEX('Лист2'!$C$2:$C$505, MATCH(A195&amp;B195, 'Лист2'!$A$2:$A$505&amp;'Лист2'!$B$2:$B$505, 0))</f>
        <v>20</v>
      </c>
      <c r="F195" s="8">
        <f t="array" ref="F195">INDEX('Лист2'!$D$2:$D$505, MATCH(A195&amp;B195, 'Лист2'!$A$2:$A$505&amp;'Лист2'!$B$2:$B$505, 0))</f>
        <v>1804</v>
      </c>
      <c r="G195" s="8">
        <f t="array" ref="G195">INDEX('Лист2'!$E$2:$E$505, MATCH(A195&amp;B195, 'Лист2'!$A$2:$A$505&amp;'Лист2'!$B$2:$B$505, 0))</f>
        <v>1638</v>
      </c>
      <c r="H195" s="9">
        <f t="shared" si="1"/>
        <v>1539</v>
      </c>
      <c r="I195" s="9">
        <f t="shared" si="2"/>
        <v>19</v>
      </c>
      <c r="J195" s="10">
        <f t="shared" si="3"/>
        <v>0.05678455301</v>
      </c>
    </row>
    <row r="196" ht="14.25" customHeight="1">
      <c r="A196" s="6">
        <v>43950.0</v>
      </c>
      <c r="B196" s="7" t="s">
        <v>18</v>
      </c>
      <c r="C196" s="7">
        <v>29142.0</v>
      </c>
      <c r="D196" s="7">
        <v>2627595.0</v>
      </c>
      <c r="E196" s="8">
        <f t="array" ref="E196">INDEX('Лист2'!$C$2:$C$505, MATCH(A196&amp;B196, 'Лист2'!$A$2:$A$505&amp;'Лист2'!$B$2:$B$505, 0))</f>
        <v>19</v>
      </c>
      <c r="F196" s="8">
        <f t="array" ref="F196">INDEX('Лист2'!$D$2:$D$505, MATCH(A196&amp;B196, 'Лист2'!$A$2:$A$505&amp;'Лист2'!$B$2:$B$505, 0))</f>
        <v>1676</v>
      </c>
      <c r="G196" s="8">
        <f t="array" ref="G196">INDEX('Лист2'!$E$2:$E$505, MATCH(A196&amp;B196, 'Лист2'!$A$2:$A$505&amp;'Лист2'!$B$2:$B$505, 0))</f>
        <v>1516</v>
      </c>
      <c r="H196" s="9">
        <f t="shared" si="1"/>
        <v>1533.789474</v>
      </c>
      <c r="I196" s="9">
        <f t="shared" si="2"/>
        <v>18</v>
      </c>
      <c r="J196" s="10">
        <f t="shared" si="3"/>
        <v>0.0529505198</v>
      </c>
    </row>
    <row r="197" ht="14.25" customHeight="1">
      <c r="A197" s="11">
        <v>43953.0</v>
      </c>
      <c r="B197" s="12" t="s">
        <v>18</v>
      </c>
      <c r="C197" s="12">
        <v>26428.5</v>
      </c>
      <c r="D197" s="12">
        <v>2470465.5</v>
      </c>
      <c r="E197" s="8">
        <f t="array" ref="E197">INDEX('Лист2'!$C$2:$C$505, MATCH(A197&amp;B197, 'Лист2'!$A$2:$A$505&amp;'Лист2'!$B$2:$B$505, 0))</f>
        <v>20</v>
      </c>
      <c r="F197" s="8">
        <f t="array" ref="F197">INDEX('Лист2'!$D$2:$D$505, MATCH(A197&amp;B197, 'Лист2'!$A$2:$A$505&amp;'Лист2'!$B$2:$B$505, 0))</f>
        <v>1613</v>
      </c>
      <c r="G197" s="8">
        <f t="array" ref="G197">INDEX('Лист2'!$E$2:$E$505, MATCH(A197&amp;B197, 'Лист2'!$A$2:$A$505&amp;'Лист2'!$B$2:$B$505, 0))</f>
        <v>1457</v>
      </c>
      <c r="H197" s="9">
        <f t="shared" si="1"/>
        <v>1321.425</v>
      </c>
      <c r="I197" s="9">
        <f t="shared" si="2"/>
        <v>18</v>
      </c>
      <c r="J197" s="10">
        <f t="shared" si="3"/>
        <v>0.04978409244</v>
      </c>
    </row>
    <row r="198" ht="14.25" customHeight="1">
      <c r="A198" s="6">
        <v>43977.0</v>
      </c>
      <c r="B198" s="7" t="s">
        <v>18</v>
      </c>
      <c r="C198" s="7">
        <v>40744.5</v>
      </c>
      <c r="D198" s="7">
        <v>3700311.0</v>
      </c>
      <c r="E198" s="8">
        <f t="array" ref="E198">INDEX('Лист2'!$C$2:$C$505, MATCH(A198&amp;B198, 'Лист2'!$A$2:$A$505&amp;'Лист2'!$B$2:$B$505, 0))</f>
        <v>21</v>
      </c>
      <c r="F198" s="8">
        <f t="array" ref="F198">INDEX('Лист2'!$D$2:$D$505, MATCH(A198&amp;B198, 'Лист2'!$A$2:$A$505&amp;'Лист2'!$B$2:$B$505, 0))</f>
        <v>2418</v>
      </c>
      <c r="G198" s="8">
        <f t="array" ref="G198">INDEX('Лист2'!$E$2:$E$505, MATCH(A198&amp;B198, 'Лист2'!$A$2:$A$505&amp;'Лист2'!$B$2:$B$505, 0))</f>
        <v>2215</v>
      </c>
      <c r="H198" s="9">
        <f t="shared" si="1"/>
        <v>1940.214286</v>
      </c>
      <c r="I198" s="9">
        <f t="shared" si="2"/>
        <v>22</v>
      </c>
      <c r="J198" s="10">
        <f t="shared" si="3"/>
        <v>0.07456757639</v>
      </c>
    </row>
    <row r="199" ht="14.25" customHeight="1">
      <c r="A199" s="11">
        <v>43952.0</v>
      </c>
      <c r="B199" s="12" t="s">
        <v>18</v>
      </c>
      <c r="C199" s="12">
        <v>46620.0</v>
      </c>
      <c r="D199" s="12">
        <v>4293241.5</v>
      </c>
      <c r="E199" s="8">
        <f t="array" ref="E199">INDEX('Лист2'!$C$2:$C$505, MATCH(A199&amp;B199, 'Лист2'!$A$2:$A$505&amp;'Лист2'!$B$2:$B$505, 0))</f>
        <v>20</v>
      </c>
      <c r="F199" s="8">
        <f t="array" ref="F199">INDEX('Лист2'!$D$2:$D$505, MATCH(A199&amp;B199, 'Лист2'!$A$2:$A$505&amp;'Лист2'!$B$2:$B$505, 0))</f>
        <v>2468</v>
      </c>
      <c r="G199" s="8">
        <f t="array" ref="G199">INDEX('Лист2'!$E$2:$E$505, MATCH(A199&amp;B199, 'Лист2'!$A$2:$A$505&amp;'Лист2'!$B$2:$B$505, 0))</f>
        <v>2221</v>
      </c>
      <c r="H199" s="9">
        <f t="shared" si="1"/>
        <v>2331</v>
      </c>
      <c r="I199" s="9">
        <f t="shared" si="2"/>
        <v>18</v>
      </c>
      <c r="J199" s="10">
        <f t="shared" si="3"/>
        <v>0.08651613703</v>
      </c>
    </row>
    <row r="200" ht="14.25" customHeight="1">
      <c r="A200" s="6">
        <v>43963.0</v>
      </c>
      <c r="B200" s="7" t="s">
        <v>18</v>
      </c>
      <c r="C200" s="7">
        <v>32419.5</v>
      </c>
      <c r="D200" s="7">
        <v>3080614.5</v>
      </c>
      <c r="E200" s="8">
        <f t="array" ref="E200">INDEX('Лист2'!$C$2:$C$505, MATCH(A200&amp;B200, 'Лист2'!$A$2:$A$505&amp;'Лист2'!$B$2:$B$505, 0))</f>
        <v>21</v>
      </c>
      <c r="F200" s="8">
        <f t="array" ref="F200">INDEX('Лист2'!$D$2:$D$505, MATCH(A200&amp;B200, 'Лист2'!$A$2:$A$505&amp;'Лист2'!$B$2:$B$505, 0))</f>
        <v>1926</v>
      </c>
      <c r="G200" s="8">
        <f t="array" ref="G200">INDEX('Лист2'!$E$2:$E$505, MATCH(A200&amp;B200, 'Лист2'!$A$2:$A$505&amp;'Лист2'!$B$2:$B$505, 0))</f>
        <v>1745</v>
      </c>
      <c r="H200" s="9">
        <f t="shared" si="1"/>
        <v>1543.785714</v>
      </c>
      <c r="I200" s="9">
        <f t="shared" si="2"/>
        <v>20</v>
      </c>
      <c r="J200" s="10">
        <f t="shared" si="3"/>
        <v>0.06207963521</v>
      </c>
    </row>
    <row r="201" ht="14.25" customHeight="1">
      <c r="A201" s="11">
        <v>43972.0</v>
      </c>
      <c r="B201" s="12" t="s">
        <v>18</v>
      </c>
      <c r="C201" s="12">
        <v>40819.5</v>
      </c>
      <c r="D201" s="12">
        <v>3810394.5</v>
      </c>
      <c r="E201" s="8">
        <f t="array" ref="E201">INDEX('Лист2'!$C$2:$C$505, MATCH(A201&amp;B201, 'Лист2'!$A$2:$A$505&amp;'Лист2'!$B$2:$B$505, 0))</f>
        <v>21</v>
      </c>
      <c r="F201" s="8">
        <f t="array" ref="F201">INDEX('Лист2'!$D$2:$D$505, MATCH(A201&amp;B201, 'Лист2'!$A$2:$A$505&amp;'Лист2'!$B$2:$B$505, 0))</f>
        <v>2335</v>
      </c>
      <c r="G201" s="8">
        <f t="array" ref="G201">INDEX('Лист2'!$E$2:$E$505, MATCH(A201&amp;B201, 'Лист2'!$A$2:$A$505&amp;'Лист2'!$B$2:$B$505, 0))</f>
        <v>2126</v>
      </c>
      <c r="H201" s="9">
        <f t="shared" si="1"/>
        <v>1943.785714</v>
      </c>
      <c r="I201" s="9">
        <f t="shared" si="2"/>
        <v>21</v>
      </c>
      <c r="J201" s="10">
        <f t="shared" si="3"/>
        <v>0.07678594663</v>
      </c>
    </row>
    <row r="202" ht="14.25" customHeight="1">
      <c r="A202" s="6">
        <v>43971.0</v>
      </c>
      <c r="B202" s="7" t="s">
        <v>18</v>
      </c>
      <c r="C202" s="7">
        <v>41391.0</v>
      </c>
      <c r="D202" s="7">
        <v>3918987.0</v>
      </c>
      <c r="E202" s="8">
        <f t="array" ref="E202">INDEX('Лист2'!$C$2:$C$505, MATCH(A202&amp;B202, 'Лист2'!$A$2:$A$505&amp;'Лист2'!$B$2:$B$505, 0))</f>
        <v>21</v>
      </c>
      <c r="F202" s="8">
        <f t="array" ref="F202">INDEX('Лист2'!$D$2:$D$505, MATCH(A202&amp;B202, 'Лист2'!$A$2:$A$505&amp;'Лист2'!$B$2:$B$505, 0))</f>
        <v>2410</v>
      </c>
      <c r="G202" s="8">
        <f t="array" ref="G202">INDEX('Лист2'!$E$2:$E$505, MATCH(A202&amp;B202, 'Лист2'!$A$2:$A$505&amp;'Лист2'!$B$2:$B$505, 0))</f>
        <v>2202</v>
      </c>
      <c r="H202" s="9">
        <f t="shared" si="1"/>
        <v>1971</v>
      </c>
      <c r="I202" s="9">
        <f t="shared" si="2"/>
        <v>21</v>
      </c>
      <c r="J202" s="10">
        <f t="shared" si="3"/>
        <v>0.07897427068</v>
      </c>
    </row>
    <row r="203" ht="14.25" customHeight="1">
      <c r="A203" s="11">
        <v>43956.0</v>
      </c>
      <c r="B203" s="12" t="s">
        <v>18</v>
      </c>
      <c r="C203" s="12">
        <v>29482.5</v>
      </c>
      <c r="D203" s="12">
        <v>2648688.0</v>
      </c>
      <c r="E203" s="8">
        <f t="array" ref="E203">INDEX('Лист2'!$C$2:$C$505, MATCH(A203&amp;B203, 'Лист2'!$A$2:$A$505&amp;'Лист2'!$B$2:$B$505, 0))</f>
        <v>20</v>
      </c>
      <c r="F203" s="8">
        <f t="array" ref="F203">INDEX('Лист2'!$D$2:$D$505, MATCH(A203&amp;B203, 'Лист2'!$A$2:$A$505&amp;'Лист2'!$B$2:$B$505, 0))</f>
        <v>1757</v>
      </c>
      <c r="G203" s="8">
        <f t="array" ref="G203">INDEX('Лист2'!$E$2:$E$505, MATCH(A203&amp;B203, 'Лист2'!$A$2:$A$505&amp;'Лист2'!$B$2:$B$505, 0))</f>
        <v>1596</v>
      </c>
      <c r="H203" s="9">
        <f t="shared" si="1"/>
        <v>1474.125</v>
      </c>
      <c r="I203" s="9">
        <f t="shared" si="2"/>
        <v>19</v>
      </c>
      <c r="J203" s="10">
        <f t="shared" si="3"/>
        <v>0.05337557972</v>
      </c>
    </row>
    <row r="204" ht="14.25" customHeight="1">
      <c r="A204" s="6">
        <v>43949.0</v>
      </c>
      <c r="B204" s="7" t="s">
        <v>18</v>
      </c>
      <c r="C204" s="7">
        <v>32181.0</v>
      </c>
      <c r="D204" s="7">
        <v>2863600.5</v>
      </c>
      <c r="E204" s="8">
        <f t="array" ref="E204">INDEX('Лист2'!$C$2:$C$505, MATCH(A204&amp;B204, 'Лист2'!$A$2:$A$505&amp;'Лист2'!$B$2:$B$505, 0))</f>
        <v>19</v>
      </c>
      <c r="F204" s="8">
        <f t="array" ref="F204">INDEX('Лист2'!$D$2:$D$505, MATCH(A204&amp;B204, 'Лист2'!$A$2:$A$505&amp;'Лист2'!$B$2:$B$505, 0))</f>
        <v>1846</v>
      </c>
      <c r="G204" s="8">
        <f t="array" ref="G204">INDEX('Лист2'!$E$2:$E$505, MATCH(A204&amp;B204, 'Лист2'!$A$2:$A$505&amp;'Лист2'!$B$2:$B$505, 0))</f>
        <v>1681</v>
      </c>
      <c r="H204" s="9">
        <f t="shared" si="1"/>
        <v>1693.736842</v>
      </c>
      <c r="I204" s="9">
        <f t="shared" si="2"/>
        <v>18</v>
      </c>
      <c r="J204" s="10">
        <f t="shared" si="3"/>
        <v>0.05770643306</v>
      </c>
    </row>
    <row r="205" ht="14.25" customHeight="1">
      <c r="A205" s="11">
        <v>43964.0</v>
      </c>
      <c r="B205" s="12" t="s">
        <v>18</v>
      </c>
      <c r="C205" s="12">
        <v>35535.0</v>
      </c>
      <c r="D205" s="12">
        <v>3288069.0</v>
      </c>
      <c r="E205" s="8">
        <f t="array" ref="E205">INDEX('Лист2'!$C$2:$C$505, MATCH(A205&amp;B205, 'Лист2'!$A$2:$A$505&amp;'Лист2'!$B$2:$B$505, 0))</f>
        <v>21</v>
      </c>
      <c r="F205" s="8">
        <f t="array" ref="F205">INDEX('Лист2'!$D$2:$D$505, MATCH(A205&amp;B205, 'Лист2'!$A$2:$A$505&amp;'Лист2'!$B$2:$B$505, 0))</f>
        <v>2061</v>
      </c>
      <c r="G205" s="8">
        <f t="array" ref="G205">INDEX('Лист2'!$E$2:$E$505, MATCH(A205&amp;B205, 'Лист2'!$A$2:$A$505&amp;'Лист2'!$B$2:$B$505, 0))</f>
        <v>1876</v>
      </c>
      <c r="H205" s="9">
        <f t="shared" si="1"/>
        <v>1692.142857</v>
      </c>
      <c r="I205" s="9">
        <f t="shared" si="2"/>
        <v>20</v>
      </c>
      <c r="J205" s="10">
        <f t="shared" si="3"/>
        <v>0.06626019714</v>
      </c>
    </row>
    <row r="206" ht="14.25" customHeight="1">
      <c r="A206" s="6">
        <v>43982.0</v>
      </c>
      <c r="B206" s="7" t="s">
        <v>17</v>
      </c>
      <c r="C206" s="7">
        <v>76234.5</v>
      </c>
      <c r="D206" s="7">
        <v>6500848.5</v>
      </c>
      <c r="E206" s="8">
        <f t="array" ref="E206">INDEX('Лист2'!$C$2:$C$505, MATCH(A206&amp;B206, 'Лист2'!$A$2:$A$505&amp;'Лист2'!$B$2:$B$505, 0))</f>
        <v>37</v>
      </c>
      <c r="F206" s="8">
        <f t="array" ref="F206">INDEX('Лист2'!$D$2:$D$505, MATCH(A206&amp;B206, 'Лист2'!$A$2:$A$505&amp;'Лист2'!$B$2:$B$505, 0))</f>
        <v>5215</v>
      </c>
      <c r="G206" s="8">
        <f t="array" ref="G206">INDEX('Лист2'!$E$2:$E$505, MATCH(A206&amp;B206, 'Лист2'!$A$2:$A$505&amp;'Лист2'!$B$2:$B$505, 0))</f>
        <v>4848</v>
      </c>
      <c r="H206" s="9">
        <f t="shared" si="1"/>
        <v>2060.391892</v>
      </c>
      <c r="I206" s="9">
        <f t="shared" si="2"/>
        <v>22</v>
      </c>
      <c r="J206" s="10">
        <f t="shared" si="3"/>
        <v>0.1310031825</v>
      </c>
    </row>
    <row r="207" ht="14.25" customHeight="1">
      <c r="A207" s="11">
        <v>43954.0</v>
      </c>
      <c r="B207" s="12" t="s">
        <v>18</v>
      </c>
      <c r="C207" s="12">
        <v>29935.5</v>
      </c>
      <c r="D207" s="12">
        <v>2720002.5</v>
      </c>
      <c r="E207" s="8">
        <f t="array" ref="E207">INDEX('Лист2'!$C$2:$C$505, MATCH(A207&amp;B207, 'Лист2'!$A$2:$A$505&amp;'Лист2'!$B$2:$B$505, 0))</f>
        <v>20</v>
      </c>
      <c r="F207" s="8">
        <f t="array" ref="F207">INDEX('Лист2'!$D$2:$D$505, MATCH(A207&amp;B207, 'Лист2'!$A$2:$A$505&amp;'Лист2'!$B$2:$B$505, 0))</f>
        <v>1716</v>
      </c>
      <c r="G207" s="8">
        <f t="array" ref="G207">INDEX('Лист2'!$E$2:$E$505, MATCH(A207&amp;B207, 'Лист2'!$A$2:$A$505&amp;'Лист2'!$B$2:$B$505, 0))</f>
        <v>1561</v>
      </c>
      <c r="H207" s="9">
        <f t="shared" si="1"/>
        <v>1496.775</v>
      </c>
      <c r="I207" s="9">
        <f t="shared" si="2"/>
        <v>18</v>
      </c>
      <c r="J207" s="10">
        <f t="shared" si="3"/>
        <v>0.0548126885</v>
      </c>
    </row>
    <row r="208" ht="14.25" customHeight="1">
      <c r="A208" s="6">
        <v>43981.0</v>
      </c>
      <c r="B208" s="7" t="s">
        <v>17</v>
      </c>
      <c r="C208" s="7">
        <v>106926.0</v>
      </c>
      <c r="D208" s="7">
        <v>9098386.5</v>
      </c>
      <c r="E208" s="8">
        <f t="array" ref="E208">INDEX('Лист2'!$C$2:$C$505, MATCH(A208&amp;B208, 'Лист2'!$A$2:$A$505&amp;'Лист2'!$B$2:$B$505, 0))</f>
        <v>37</v>
      </c>
      <c r="F208" s="8">
        <f t="array" ref="F208">INDEX('Лист2'!$D$2:$D$505, MATCH(A208&amp;B208, 'Лист2'!$A$2:$A$505&amp;'Лист2'!$B$2:$B$505, 0))</f>
        <v>6645</v>
      </c>
      <c r="G208" s="8">
        <f t="array" ref="G208">INDEX('Лист2'!$E$2:$E$505, MATCH(A208&amp;B208, 'Лист2'!$A$2:$A$505&amp;'Лист2'!$B$2:$B$505, 0))</f>
        <v>6122</v>
      </c>
      <c r="H208" s="9">
        <f t="shared" si="1"/>
        <v>2889.891892</v>
      </c>
      <c r="I208" s="9">
        <f t="shared" si="2"/>
        <v>22</v>
      </c>
      <c r="J208" s="10">
        <f t="shared" si="3"/>
        <v>0.1833480025</v>
      </c>
    </row>
    <row r="209" ht="14.25" customHeight="1">
      <c r="A209" s="11">
        <v>43957.0</v>
      </c>
      <c r="B209" s="12" t="s">
        <v>18</v>
      </c>
      <c r="C209" s="12">
        <v>30342.0</v>
      </c>
      <c r="D209" s="12">
        <v>2738127.0</v>
      </c>
      <c r="E209" s="8">
        <f t="array" ref="E209">INDEX('Лист2'!$C$2:$C$505, MATCH(A209&amp;B209, 'Лист2'!$A$2:$A$505&amp;'Лист2'!$B$2:$B$505, 0))</f>
        <v>20</v>
      </c>
      <c r="F209" s="8">
        <f t="array" ref="F209">INDEX('Лист2'!$D$2:$D$505, MATCH(A209&amp;B209, 'Лист2'!$A$2:$A$505&amp;'Лист2'!$B$2:$B$505, 0))</f>
        <v>1747</v>
      </c>
      <c r="G209" s="8">
        <f t="array" ref="G209">INDEX('Лист2'!$E$2:$E$505, MATCH(A209&amp;B209, 'Лист2'!$A$2:$A$505&amp;'Лист2'!$B$2:$B$505, 0))</f>
        <v>1570</v>
      </c>
      <c r="H209" s="9">
        <f t="shared" si="1"/>
        <v>1517.1</v>
      </c>
      <c r="I209" s="9">
        <f t="shared" si="2"/>
        <v>19</v>
      </c>
      <c r="J209" s="10">
        <f t="shared" si="3"/>
        <v>0.05517792808</v>
      </c>
    </row>
    <row r="210" ht="14.25" customHeight="1">
      <c r="A210" s="6">
        <v>43974.0</v>
      </c>
      <c r="B210" s="7" t="s">
        <v>18</v>
      </c>
      <c r="C210" s="7">
        <v>42999.0</v>
      </c>
      <c r="D210" s="7">
        <v>3883215.0</v>
      </c>
      <c r="E210" s="8">
        <f t="array" ref="E210">INDEX('Лист2'!$C$2:$C$505, MATCH(A210&amp;B210, 'Лист2'!$A$2:$A$505&amp;'Лист2'!$B$2:$B$505, 0))</f>
        <v>21</v>
      </c>
      <c r="F210" s="8">
        <f t="array" ref="F210">INDEX('Лист2'!$D$2:$D$505, MATCH(A210&amp;B210, 'Лист2'!$A$2:$A$505&amp;'Лист2'!$B$2:$B$505, 0))</f>
        <v>2460</v>
      </c>
      <c r="G210" s="8">
        <f t="array" ref="G210">INDEX('Лист2'!$E$2:$E$505, MATCH(A210&amp;B210, 'Лист2'!$A$2:$A$505&amp;'Лист2'!$B$2:$B$505, 0))</f>
        <v>2226</v>
      </c>
      <c r="H210" s="9">
        <f t="shared" si="1"/>
        <v>2047.571429</v>
      </c>
      <c r="I210" s="9">
        <f t="shared" si="2"/>
        <v>21</v>
      </c>
      <c r="J210" s="10">
        <f t="shared" si="3"/>
        <v>0.07825340388</v>
      </c>
    </row>
    <row r="211" ht="14.25" customHeight="1">
      <c r="A211" s="11">
        <v>43979.0</v>
      </c>
      <c r="B211" s="12" t="s">
        <v>17</v>
      </c>
      <c r="C211" s="12">
        <v>69945.0</v>
      </c>
      <c r="D211" s="12">
        <v>6101931.0</v>
      </c>
      <c r="E211" s="8">
        <f t="array" ref="E211">INDEX('Лист2'!$C$2:$C$505, MATCH(A211&amp;B211, 'Лист2'!$A$2:$A$505&amp;'Лист2'!$B$2:$B$505, 0))</f>
        <v>37</v>
      </c>
      <c r="F211" s="8">
        <f t="array" ref="F211">INDEX('Лист2'!$D$2:$D$505, MATCH(A211&amp;B211, 'Лист2'!$A$2:$A$505&amp;'Лист2'!$B$2:$B$505, 0))</f>
        <v>4840</v>
      </c>
      <c r="G211" s="8">
        <f t="array" ref="G211">INDEX('Лист2'!$E$2:$E$505, MATCH(A211&amp;B211, 'Лист2'!$A$2:$A$505&amp;'Лист2'!$B$2:$B$505, 0))</f>
        <v>4475</v>
      </c>
      <c r="H211" s="9">
        <f t="shared" si="1"/>
        <v>1890.405405</v>
      </c>
      <c r="I211" s="9">
        <f t="shared" si="2"/>
        <v>22</v>
      </c>
      <c r="J211" s="10">
        <f t="shared" si="3"/>
        <v>0.1229643146</v>
      </c>
    </row>
    <row r="212" ht="14.25" customHeight="1">
      <c r="A212" s="6">
        <v>43976.0</v>
      </c>
      <c r="B212" s="7" t="s">
        <v>18</v>
      </c>
      <c r="C212" s="7">
        <v>38740.5</v>
      </c>
      <c r="D212" s="7">
        <v>3561655.5</v>
      </c>
      <c r="E212" s="8">
        <f t="array" ref="E212">INDEX('Лист2'!$C$2:$C$505, MATCH(A212&amp;B212, 'Лист2'!$A$2:$A$505&amp;'Лист2'!$B$2:$B$505, 0))</f>
        <v>21</v>
      </c>
      <c r="F212" s="8">
        <f t="array" ref="F212">INDEX('Лист2'!$D$2:$D$505, MATCH(A212&amp;B212, 'Лист2'!$A$2:$A$505&amp;'Лист2'!$B$2:$B$505, 0))</f>
        <v>2330</v>
      </c>
      <c r="G212" s="8">
        <f t="array" ref="G212">INDEX('Лист2'!$E$2:$E$505, MATCH(A212&amp;B212, 'Лист2'!$A$2:$A$505&amp;'Лист2'!$B$2:$B$505, 0))</f>
        <v>2142</v>
      </c>
      <c r="H212" s="9">
        <f t="shared" si="1"/>
        <v>1844.785714</v>
      </c>
      <c r="I212" s="9">
        <f t="shared" si="2"/>
        <v>22</v>
      </c>
      <c r="J212" s="10">
        <f t="shared" si="3"/>
        <v>0.07177343163</v>
      </c>
    </row>
    <row r="213" ht="14.25" customHeight="1">
      <c r="A213" s="11">
        <v>43951.0</v>
      </c>
      <c r="B213" s="12" t="s">
        <v>18</v>
      </c>
      <c r="C213" s="12">
        <v>31231.5</v>
      </c>
      <c r="D213" s="12">
        <v>2853310.5</v>
      </c>
      <c r="E213" s="8">
        <f t="array" ref="E213">INDEX('Лист2'!$C$2:$C$505, MATCH(A213&amp;B213, 'Лист2'!$A$2:$A$505&amp;'Лист2'!$B$2:$B$505, 0))</f>
        <v>20</v>
      </c>
      <c r="F213" s="8">
        <f t="array" ref="F213">INDEX('Лист2'!$D$2:$D$505, MATCH(A213&amp;B213, 'Лист2'!$A$2:$A$505&amp;'Лист2'!$B$2:$B$505, 0))</f>
        <v>1756</v>
      </c>
      <c r="G213" s="8">
        <f t="array" ref="G213">INDEX('Лист2'!$E$2:$E$505, MATCH(A213&amp;B213, 'Лист2'!$A$2:$A$505&amp;'Лист2'!$B$2:$B$505, 0))</f>
        <v>1586</v>
      </c>
      <c r="H213" s="9">
        <f t="shared" si="1"/>
        <v>1561.575</v>
      </c>
      <c r="I213" s="9">
        <f t="shared" si="2"/>
        <v>18</v>
      </c>
      <c r="J213" s="10">
        <f t="shared" si="3"/>
        <v>0.05749907202</v>
      </c>
    </row>
    <row r="214" ht="14.25" customHeight="1">
      <c r="A214" s="6">
        <v>43961.0</v>
      </c>
      <c r="B214" s="7" t="s">
        <v>18</v>
      </c>
      <c r="C214" s="7">
        <v>37489.5</v>
      </c>
      <c r="D214" s="7">
        <v>3549097.5</v>
      </c>
      <c r="E214" s="8">
        <f t="array" ref="E214">INDEX('Лист2'!$C$2:$C$505, MATCH(A214&amp;B214, 'Лист2'!$A$2:$A$505&amp;'Лист2'!$B$2:$B$505, 0))</f>
        <v>21</v>
      </c>
      <c r="F214" s="8">
        <f t="array" ref="F214">INDEX('Лист2'!$D$2:$D$505, MATCH(A214&amp;B214, 'Лист2'!$A$2:$A$505&amp;'Лист2'!$B$2:$B$505, 0))</f>
        <v>2120</v>
      </c>
      <c r="G214" s="8">
        <f t="array" ref="G214">INDEX('Лист2'!$E$2:$E$505, MATCH(A214&amp;B214, 'Лист2'!$A$2:$A$505&amp;'Лист2'!$B$2:$B$505, 0))</f>
        <v>1921</v>
      </c>
      <c r="H214" s="9">
        <f t="shared" si="1"/>
        <v>1785.214286</v>
      </c>
      <c r="I214" s="9">
        <f t="shared" si="2"/>
        <v>19</v>
      </c>
      <c r="J214" s="10">
        <f t="shared" si="3"/>
        <v>0.07152036652</v>
      </c>
    </row>
    <row r="215" ht="14.25" customHeight="1">
      <c r="A215" s="11">
        <v>43959.0</v>
      </c>
      <c r="B215" s="12" t="s">
        <v>18</v>
      </c>
      <c r="C215" s="12">
        <v>34399.5</v>
      </c>
      <c r="D215" s="12">
        <v>3201358.5</v>
      </c>
      <c r="E215" s="8">
        <f t="array" ref="E215">INDEX('Лист2'!$C$2:$C$505, MATCH(A215&amp;B215, 'Лист2'!$A$2:$A$505&amp;'Лист2'!$B$2:$B$505, 0))</f>
        <v>21</v>
      </c>
      <c r="F215" s="8">
        <f t="array" ref="F215">INDEX('Лист2'!$D$2:$D$505, MATCH(A215&amp;B215, 'Лист2'!$A$2:$A$505&amp;'Лист2'!$B$2:$B$505, 0))</f>
        <v>1957</v>
      </c>
      <c r="G215" s="8">
        <f t="array" ref="G215">INDEX('Лист2'!$E$2:$E$505, MATCH(A215&amp;B215, 'Лист2'!$A$2:$A$505&amp;'Лист2'!$B$2:$B$505, 0))</f>
        <v>1755</v>
      </c>
      <c r="H215" s="9">
        <f t="shared" si="1"/>
        <v>1638.071429</v>
      </c>
      <c r="I215" s="9">
        <f t="shared" si="2"/>
        <v>19</v>
      </c>
      <c r="J215" s="10">
        <f t="shared" si="3"/>
        <v>0.06451283271</v>
      </c>
    </row>
    <row r="216" ht="14.25" customHeight="1">
      <c r="A216" s="6">
        <v>43958.0</v>
      </c>
      <c r="B216" s="7" t="s">
        <v>18</v>
      </c>
      <c r="C216" s="7">
        <v>32851.5</v>
      </c>
      <c r="D216" s="7">
        <v>2934504.0</v>
      </c>
      <c r="E216" s="8">
        <f t="array" ref="E216">INDEX('Лист2'!$C$2:$C$505, MATCH(A216&amp;B216, 'Лист2'!$A$2:$A$505&amp;'Лист2'!$B$2:$B$505, 0))</f>
        <v>21</v>
      </c>
      <c r="F216" s="8">
        <f t="array" ref="F216">INDEX('Лист2'!$D$2:$D$505, MATCH(A216&amp;B216, 'Лист2'!$A$2:$A$505&amp;'Лист2'!$B$2:$B$505, 0))</f>
        <v>1879</v>
      </c>
      <c r="G216" s="8">
        <f t="array" ref="G216">INDEX('Лист2'!$E$2:$E$505, MATCH(A216&amp;B216, 'Лист2'!$A$2:$A$505&amp;'Лист2'!$B$2:$B$505, 0))</f>
        <v>1695</v>
      </c>
      <c r="H216" s="9">
        <f t="shared" si="1"/>
        <v>1564.357143</v>
      </c>
      <c r="I216" s="9">
        <f t="shared" si="2"/>
        <v>19</v>
      </c>
      <c r="J216" s="10">
        <f t="shared" si="3"/>
        <v>0.05913525949</v>
      </c>
    </row>
    <row r="217" ht="14.25" customHeight="1">
      <c r="A217" s="11">
        <v>43975.0</v>
      </c>
      <c r="B217" s="12" t="s">
        <v>18</v>
      </c>
      <c r="C217" s="12">
        <v>38194.5</v>
      </c>
      <c r="D217" s="12">
        <v>3449302.5</v>
      </c>
      <c r="E217" s="8">
        <f t="array" ref="E217">INDEX('Лист2'!$C$2:$C$505, MATCH(A217&amp;B217, 'Лист2'!$A$2:$A$505&amp;'Лист2'!$B$2:$B$505, 0))</f>
        <v>21</v>
      </c>
      <c r="F217" s="8">
        <f t="array" ref="F217">INDEX('Лист2'!$D$2:$D$505, MATCH(A217&amp;B217, 'Лист2'!$A$2:$A$505&amp;'Лист2'!$B$2:$B$505, 0))</f>
        <v>2254</v>
      </c>
      <c r="G217" s="8">
        <f t="array" ref="G217">INDEX('Лист2'!$E$2:$E$505, MATCH(A217&amp;B217, 'Лист2'!$A$2:$A$505&amp;'Лист2'!$B$2:$B$505, 0))</f>
        <v>2061</v>
      </c>
      <c r="H217" s="9">
        <f t="shared" si="1"/>
        <v>1818.785714</v>
      </c>
      <c r="I217" s="9">
        <f t="shared" si="2"/>
        <v>21</v>
      </c>
      <c r="J217" s="10">
        <f t="shared" si="3"/>
        <v>0.0695093271</v>
      </c>
    </row>
    <row r="218" ht="14.25" customHeight="1">
      <c r="A218" s="6">
        <v>43982.0</v>
      </c>
      <c r="B218" s="7" t="s">
        <v>18</v>
      </c>
      <c r="C218" s="7">
        <v>42423.0</v>
      </c>
      <c r="D218" s="7">
        <v>3994153.5</v>
      </c>
      <c r="E218" s="8">
        <f t="array" ref="E218">INDEX('Лист2'!$C$2:$C$505, MATCH(A218&amp;B218, 'Лист2'!$A$2:$A$505&amp;'Лист2'!$B$2:$B$505, 0))</f>
        <v>23</v>
      </c>
      <c r="F218" s="8">
        <f t="array" ref="F218">INDEX('Лист2'!$D$2:$D$505, MATCH(A218&amp;B218, 'Лист2'!$A$2:$A$505&amp;'Лист2'!$B$2:$B$505, 0))</f>
        <v>2522</v>
      </c>
      <c r="G218" s="8">
        <f t="array" ref="G218">INDEX('Лист2'!$E$2:$E$505, MATCH(A218&amp;B218, 'Лист2'!$A$2:$A$505&amp;'Лист2'!$B$2:$B$505, 0))</f>
        <v>2295</v>
      </c>
      <c r="H218" s="9">
        <f t="shared" si="1"/>
        <v>1844.478261</v>
      </c>
      <c r="I218" s="9">
        <f t="shared" si="2"/>
        <v>22</v>
      </c>
      <c r="J218" s="10">
        <f t="shared" si="3"/>
        <v>0.08048900382</v>
      </c>
    </row>
    <row r="219" ht="14.25" customHeight="1">
      <c r="A219" s="11">
        <v>43981.0</v>
      </c>
      <c r="B219" s="12" t="s">
        <v>18</v>
      </c>
      <c r="C219" s="12">
        <v>48286.5</v>
      </c>
      <c r="D219" s="12">
        <v>4456441.5</v>
      </c>
      <c r="E219" s="8">
        <f t="array" ref="E219">INDEX('Лист2'!$C$2:$C$505, MATCH(A219&amp;B219, 'Лист2'!$A$2:$A$505&amp;'Лист2'!$B$2:$B$505, 0))</f>
        <v>22</v>
      </c>
      <c r="F219" s="8">
        <f t="array" ref="F219">INDEX('Лист2'!$D$2:$D$505, MATCH(A219&amp;B219, 'Лист2'!$A$2:$A$505&amp;'Лист2'!$B$2:$B$505, 0))</f>
        <v>2793</v>
      </c>
      <c r="G219" s="8">
        <f t="array" ref="G219">INDEX('Лист2'!$E$2:$E$505, MATCH(A219&amp;B219, 'Лист2'!$A$2:$A$505&amp;'Лист2'!$B$2:$B$505, 0))</f>
        <v>2539</v>
      </c>
      <c r="H219" s="9">
        <f t="shared" si="1"/>
        <v>2194.840909</v>
      </c>
      <c r="I219" s="9">
        <f t="shared" si="2"/>
        <v>22</v>
      </c>
      <c r="J219" s="10">
        <f t="shared" si="3"/>
        <v>0.08980489531</v>
      </c>
    </row>
    <row r="220" ht="14.25" customHeight="1">
      <c r="A220" s="6">
        <v>43979.0</v>
      </c>
      <c r="B220" s="7" t="s">
        <v>18</v>
      </c>
      <c r="C220" s="7">
        <v>41442.0</v>
      </c>
      <c r="D220" s="7">
        <v>3893680.5</v>
      </c>
      <c r="E220" s="8">
        <f t="array" ref="E220">INDEX('Лист2'!$C$2:$C$505, MATCH(A220&amp;B220, 'Лист2'!$A$2:$A$505&amp;'Лист2'!$B$2:$B$505, 0))</f>
        <v>22</v>
      </c>
      <c r="F220" s="8">
        <f t="array" ref="F220">INDEX('Лист2'!$D$2:$D$505, MATCH(A220&amp;B220, 'Лист2'!$A$2:$A$505&amp;'Лист2'!$B$2:$B$505, 0))</f>
        <v>2454</v>
      </c>
      <c r="G220" s="8">
        <f t="array" ref="G220">INDEX('Лист2'!$E$2:$E$505, MATCH(A220&amp;B220, 'Лист2'!$A$2:$A$505&amp;'Лист2'!$B$2:$B$505, 0))</f>
        <v>2239</v>
      </c>
      <c r="H220" s="9">
        <f t="shared" si="1"/>
        <v>1883.727273</v>
      </c>
      <c r="I220" s="9">
        <f t="shared" si="2"/>
        <v>22</v>
      </c>
      <c r="J220" s="10">
        <f t="shared" si="3"/>
        <v>0.07846430155</v>
      </c>
    </row>
    <row r="221" ht="14.25" customHeight="1">
      <c r="A221" s="11">
        <v>43967.0</v>
      </c>
      <c r="B221" s="12" t="s">
        <v>19</v>
      </c>
      <c r="C221" s="12">
        <v>18600.0</v>
      </c>
      <c r="D221" s="12">
        <v>1601425.5</v>
      </c>
      <c r="E221" s="8">
        <f t="array" ref="E221">INDEX('Лист2'!$C$2:$C$505, MATCH(A221&amp;B221, 'Лист2'!$A$2:$A$505&amp;'Лист2'!$B$2:$B$505, 0))</f>
        <v>15</v>
      </c>
      <c r="F221" s="8">
        <f t="array" ref="F221">INDEX('Лист2'!$D$2:$D$505, MATCH(A221&amp;B221, 'Лист2'!$A$2:$A$505&amp;'Лист2'!$B$2:$B$505, 0))</f>
        <v>1111</v>
      </c>
      <c r="G221" s="8">
        <f t="array" ref="G221">INDEX('Лист2'!$E$2:$E$505, MATCH(A221&amp;B221, 'Лист2'!$A$2:$A$505&amp;'Лист2'!$B$2:$B$505, 0))</f>
        <v>992</v>
      </c>
      <c r="H221" s="9">
        <f t="shared" si="1"/>
        <v>1240</v>
      </c>
      <c r="I221" s="9">
        <f t="shared" si="2"/>
        <v>20</v>
      </c>
      <c r="J221" s="10">
        <f t="shared" si="3"/>
        <v>0.03227145456</v>
      </c>
    </row>
    <row r="222" ht="14.25" customHeight="1">
      <c r="A222" s="6">
        <v>43970.0</v>
      </c>
      <c r="B222" s="7" t="s">
        <v>19</v>
      </c>
      <c r="C222" s="7">
        <v>16638.0</v>
      </c>
      <c r="D222" s="7">
        <v>1364847.0</v>
      </c>
      <c r="E222" s="8">
        <f t="array" ref="E222">INDEX('Лист2'!$C$2:$C$505, MATCH(A222&amp;B222, 'Лист2'!$A$2:$A$505&amp;'Лист2'!$B$2:$B$505, 0))</f>
        <v>16</v>
      </c>
      <c r="F222" s="8">
        <f t="array" ref="F222">INDEX('Лист2'!$D$2:$D$505, MATCH(A222&amp;B222, 'Лист2'!$A$2:$A$505&amp;'Лист2'!$B$2:$B$505, 0))</f>
        <v>1012</v>
      </c>
      <c r="G222" s="8">
        <f t="array" ref="G222">INDEX('Лист2'!$E$2:$E$505, MATCH(A222&amp;B222, 'Лист2'!$A$2:$A$505&amp;'Лист2'!$B$2:$B$505, 0))</f>
        <v>900</v>
      </c>
      <c r="H222" s="9">
        <f t="shared" si="1"/>
        <v>1039.875</v>
      </c>
      <c r="I222" s="9">
        <f t="shared" si="2"/>
        <v>21</v>
      </c>
      <c r="J222" s="10">
        <f t="shared" si="3"/>
        <v>0.02750399438</v>
      </c>
    </row>
    <row r="223" ht="14.25" customHeight="1">
      <c r="A223" s="11">
        <v>43968.0</v>
      </c>
      <c r="B223" s="12" t="s">
        <v>19</v>
      </c>
      <c r="C223" s="12">
        <v>15609.0</v>
      </c>
      <c r="D223" s="12">
        <v>1377577.5</v>
      </c>
      <c r="E223" s="8">
        <f t="array" ref="E223">INDEX('Лист2'!$C$2:$C$505, MATCH(A223&amp;B223, 'Лист2'!$A$2:$A$505&amp;'Лист2'!$B$2:$B$505, 0))</f>
        <v>15</v>
      </c>
      <c r="F223" s="8">
        <f t="array" ref="F223">INDEX('Лист2'!$D$2:$D$505, MATCH(A223&amp;B223, 'Лист2'!$A$2:$A$505&amp;'Лист2'!$B$2:$B$505, 0))</f>
        <v>971</v>
      </c>
      <c r="G223" s="8">
        <f t="array" ref="G223">INDEX('Лист2'!$E$2:$E$505, MATCH(A223&amp;B223, 'Лист2'!$A$2:$A$505&amp;'Лист2'!$B$2:$B$505, 0))</f>
        <v>856</v>
      </c>
      <c r="H223" s="9">
        <f t="shared" si="1"/>
        <v>1040.6</v>
      </c>
      <c r="I223" s="9">
        <f t="shared" si="2"/>
        <v>20</v>
      </c>
      <c r="J223" s="10">
        <f t="shared" si="3"/>
        <v>0.02776053566</v>
      </c>
    </row>
    <row r="224" ht="14.25" customHeight="1">
      <c r="A224" s="6">
        <v>43960.0</v>
      </c>
      <c r="B224" s="7" t="s">
        <v>19</v>
      </c>
      <c r="C224" s="7">
        <v>13948.5</v>
      </c>
      <c r="D224" s="7">
        <v>1222932.0</v>
      </c>
      <c r="E224" s="8">
        <f t="array" ref="E224">INDEX('Лист2'!$C$2:$C$505, MATCH(A224&amp;B224, 'Лист2'!$A$2:$A$505&amp;'Лист2'!$B$2:$B$505, 0))</f>
        <v>15</v>
      </c>
      <c r="F224" s="8">
        <f t="array" ref="F224">INDEX('Лист2'!$D$2:$D$505, MATCH(A224&amp;B224, 'Лист2'!$A$2:$A$505&amp;'Лист2'!$B$2:$B$505, 0))</f>
        <v>849</v>
      </c>
      <c r="G224" s="8">
        <f t="array" ref="G224">INDEX('Лист2'!$E$2:$E$505, MATCH(A224&amp;B224, 'Лист2'!$A$2:$A$505&amp;'Лист2'!$B$2:$B$505, 0))</f>
        <v>740</v>
      </c>
      <c r="H224" s="9">
        <f t="shared" si="1"/>
        <v>929.9</v>
      </c>
      <c r="I224" s="9">
        <f t="shared" si="2"/>
        <v>19</v>
      </c>
      <c r="J224" s="10">
        <f t="shared" si="3"/>
        <v>0.02464416513</v>
      </c>
    </row>
    <row r="225" ht="14.25" customHeight="1">
      <c r="A225" s="11">
        <v>43955.0</v>
      </c>
      <c r="B225" s="12" t="s">
        <v>19</v>
      </c>
      <c r="C225" s="12">
        <v>12301.5</v>
      </c>
      <c r="D225" s="12">
        <v>1085211.0</v>
      </c>
      <c r="E225" s="8">
        <f t="array" ref="E225">INDEX('Лист2'!$C$2:$C$505, MATCH(A225&amp;B225, 'Лист2'!$A$2:$A$505&amp;'Лист2'!$B$2:$B$505, 0))</f>
        <v>15</v>
      </c>
      <c r="F225" s="8">
        <f t="array" ref="F225">INDEX('Лист2'!$D$2:$D$505, MATCH(A225&amp;B225, 'Лист2'!$A$2:$A$505&amp;'Лист2'!$B$2:$B$505, 0))</f>
        <v>750</v>
      </c>
      <c r="G225" s="8">
        <f t="array" ref="G225">INDEX('Лист2'!$E$2:$E$505, MATCH(A225&amp;B225, 'Лист2'!$A$2:$A$505&amp;'Лист2'!$B$2:$B$505, 0))</f>
        <v>647</v>
      </c>
      <c r="H225" s="9">
        <f t="shared" si="1"/>
        <v>820.1</v>
      </c>
      <c r="I225" s="9">
        <f t="shared" si="2"/>
        <v>19</v>
      </c>
      <c r="J225" s="10">
        <f t="shared" si="3"/>
        <v>0.02186885214</v>
      </c>
    </row>
    <row r="226" ht="14.25" customHeight="1">
      <c r="A226" s="6">
        <v>43950.0</v>
      </c>
      <c r="B226" s="7" t="s">
        <v>19</v>
      </c>
      <c r="C226" s="7">
        <v>13014.0</v>
      </c>
      <c r="D226" s="7">
        <v>1115992.5</v>
      </c>
      <c r="E226" s="8">
        <f t="array" ref="E226">INDEX('Лист2'!$C$2:$C$505, MATCH(A226&amp;B226, 'Лист2'!$A$2:$A$505&amp;'Лист2'!$B$2:$B$505, 0))</f>
        <v>15</v>
      </c>
      <c r="F226" s="8">
        <f t="array" ref="F226">INDEX('Лист2'!$D$2:$D$505, MATCH(A226&amp;B226, 'Лист2'!$A$2:$A$505&amp;'Лист2'!$B$2:$B$505, 0))</f>
        <v>786</v>
      </c>
      <c r="G226" s="8">
        <f t="array" ref="G226">INDEX('Лист2'!$E$2:$E$505, MATCH(A226&amp;B226, 'Лист2'!$A$2:$A$505&amp;'Лист2'!$B$2:$B$505, 0))</f>
        <v>695</v>
      </c>
      <c r="H226" s="9">
        <f t="shared" si="1"/>
        <v>867.6</v>
      </c>
      <c r="I226" s="9">
        <f t="shared" si="2"/>
        <v>18</v>
      </c>
      <c r="J226" s="10">
        <f t="shared" si="3"/>
        <v>0.02248915186</v>
      </c>
    </row>
    <row r="227" ht="14.25" customHeight="1">
      <c r="A227" s="11">
        <v>43953.0</v>
      </c>
      <c r="B227" s="12" t="s">
        <v>19</v>
      </c>
      <c r="C227" s="12">
        <v>12313.5</v>
      </c>
      <c r="D227" s="12">
        <v>1053220.5</v>
      </c>
      <c r="E227" s="8">
        <f t="array" ref="E227">INDEX('Лист2'!$C$2:$C$505, MATCH(A227&amp;B227, 'Лист2'!$A$2:$A$505&amp;'Лист2'!$B$2:$B$505, 0))</f>
        <v>15</v>
      </c>
      <c r="F227" s="8">
        <f t="array" ref="F227">INDEX('Лист2'!$D$2:$D$505, MATCH(A227&amp;B227, 'Лист2'!$A$2:$A$505&amp;'Лист2'!$B$2:$B$505, 0))</f>
        <v>751</v>
      </c>
      <c r="G227" s="8">
        <f t="array" ref="G227">INDEX('Лист2'!$E$2:$E$505, MATCH(A227&amp;B227, 'Лист2'!$A$2:$A$505&amp;'Лист2'!$B$2:$B$505, 0))</f>
        <v>651</v>
      </c>
      <c r="H227" s="9">
        <f t="shared" si="1"/>
        <v>820.9</v>
      </c>
      <c r="I227" s="9">
        <f t="shared" si="2"/>
        <v>18</v>
      </c>
      <c r="J227" s="10">
        <f t="shared" si="3"/>
        <v>0.02122418902</v>
      </c>
    </row>
    <row r="228" ht="14.25" customHeight="1">
      <c r="A228" s="6">
        <v>43977.0</v>
      </c>
      <c r="B228" s="7" t="s">
        <v>19</v>
      </c>
      <c r="C228" s="7">
        <v>17391.0</v>
      </c>
      <c r="D228" s="7">
        <v>1489132.5</v>
      </c>
      <c r="E228" s="8">
        <f t="array" ref="E228">INDEX('Лист2'!$C$2:$C$505, MATCH(A228&amp;B228, 'Лист2'!$A$2:$A$505&amp;'Лист2'!$B$2:$B$505, 0))</f>
        <v>17</v>
      </c>
      <c r="F228" s="8">
        <f t="array" ref="F228">INDEX('Лист2'!$D$2:$D$505, MATCH(A228&amp;B228, 'Лист2'!$A$2:$A$505&amp;'Лист2'!$B$2:$B$505, 0))</f>
        <v>1140</v>
      </c>
      <c r="G228" s="8">
        <f t="array" ref="G228">INDEX('Лист2'!$E$2:$E$505, MATCH(A228&amp;B228, 'Лист2'!$A$2:$A$505&amp;'Лист2'!$B$2:$B$505, 0))</f>
        <v>1016</v>
      </c>
      <c r="H228" s="9">
        <f t="shared" si="1"/>
        <v>1023</v>
      </c>
      <c r="I228" s="9">
        <f t="shared" si="2"/>
        <v>22</v>
      </c>
      <c r="J228" s="10">
        <f t="shared" si="3"/>
        <v>0.03000855913</v>
      </c>
    </row>
    <row r="229" ht="14.25" customHeight="1">
      <c r="A229" s="11">
        <v>43952.0</v>
      </c>
      <c r="B229" s="12" t="s">
        <v>19</v>
      </c>
      <c r="C229" s="12">
        <v>17113.5</v>
      </c>
      <c r="D229" s="12">
        <v>1465842.0</v>
      </c>
      <c r="E229" s="8">
        <f t="array" ref="E229">INDEX('Лист2'!$C$2:$C$505, MATCH(A229&amp;B229, 'Лист2'!$A$2:$A$505&amp;'Лист2'!$B$2:$B$505, 0))</f>
        <v>15</v>
      </c>
      <c r="F229" s="8">
        <f t="array" ref="F229">INDEX('Лист2'!$D$2:$D$505, MATCH(A229&amp;B229, 'Лист2'!$A$2:$A$505&amp;'Лист2'!$B$2:$B$505, 0))</f>
        <v>996</v>
      </c>
      <c r="G229" s="8">
        <f t="array" ref="G229">INDEX('Лист2'!$E$2:$E$505, MATCH(A229&amp;B229, 'Лист2'!$A$2:$A$505&amp;'Лист2'!$B$2:$B$505, 0))</f>
        <v>888</v>
      </c>
      <c r="H229" s="9">
        <f t="shared" si="1"/>
        <v>1140.9</v>
      </c>
      <c r="I229" s="9">
        <f t="shared" si="2"/>
        <v>18</v>
      </c>
      <c r="J229" s="10">
        <f t="shared" si="3"/>
        <v>0.02953921584</v>
      </c>
    </row>
    <row r="230" ht="14.25" customHeight="1">
      <c r="A230" s="6">
        <v>43963.0</v>
      </c>
      <c r="B230" s="7" t="s">
        <v>19</v>
      </c>
      <c r="C230" s="7">
        <v>12802.5</v>
      </c>
      <c r="D230" s="7">
        <v>1123830.0</v>
      </c>
      <c r="E230" s="8">
        <f t="array" ref="E230">INDEX('Лист2'!$C$2:$C$505, MATCH(A230&amp;B230, 'Лист2'!$A$2:$A$505&amp;'Лист2'!$B$2:$B$505, 0))</f>
        <v>15</v>
      </c>
      <c r="F230" s="8">
        <f t="array" ref="F230">INDEX('Лист2'!$D$2:$D$505, MATCH(A230&amp;B230, 'Лист2'!$A$2:$A$505&amp;'Лист2'!$B$2:$B$505, 0))</f>
        <v>845</v>
      </c>
      <c r="G230" s="8">
        <f t="array" ref="G230">INDEX('Лист2'!$E$2:$E$505, MATCH(A230&amp;B230, 'Лист2'!$A$2:$A$505&amp;'Лист2'!$B$2:$B$505, 0))</f>
        <v>743</v>
      </c>
      <c r="H230" s="9">
        <f t="shared" si="1"/>
        <v>853.5</v>
      </c>
      <c r="I230" s="9">
        <f t="shared" si="2"/>
        <v>20</v>
      </c>
      <c r="J230" s="10">
        <f t="shared" si="3"/>
        <v>0.02264709085</v>
      </c>
    </row>
    <row r="231" ht="14.25" customHeight="1">
      <c r="A231" s="11">
        <v>43972.0</v>
      </c>
      <c r="B231" s="12" t="s">
        <v>19</v>
      </c>
      <c r="C231" s="12">
        <v>16554.0</v>
      </c>
      <c r="D231" s="12">
        <v>1380751.5</v>
      </c>
      <c r="E231" s="8">
        <f t="array" ref="E231">INDEX('Лист2'!$C$2:$C$505, MATCH(A231&amp;B231, 'Лист2'!$A$2:$A$505&amp;'Лист2'!$B$2:$B$505, 0))</f>
        <v>17</v>
      </c>
      <c r="F231" s="8">
        <f t="array" ref="F231">INDEX('Лист2'!$D$2:$D$505, MATCH(A231&amp;B231, 'Лист2'!$A$2:$A$505&amp;'Лист2'!$B$2:$B$505, 0))</f>
        <v>1045</v>
      </c>
      <c r="G231" s="8">
        <f t="array" ref="G231">INDEX('Лист2'!$E$2:$E$505, MATCH(A231&amp;B231, 'Лист2'!$A$2:$A$505&amp;'Лист2'!$B$2:$B$505, 0))</f>
        <v>930</v>
      </c>
      <c r="H231" s="9">
        <f t="shared" si="1"/>
        <v>973.7647059</v>
      </c>
      <c r="I231" s="9">
        <f t="shared" si="2"/>
        <v>21</v>
      </c>
      <c r="J231" s="10">
        <f t="shared" si="3"/>
        <v>0.02782449717</v>
      </c>
    </row>
    <row r="232" ht="14.25" customHeight="1">
      <c r="A232" s="6">
        <v>43971.0</v>
      </c>
      <c r="B232" s="7" t="s">
        <v>19</v>
      </c>
      <c r="C232" s="7">
        <v>17329.5</v>
      </c>
      <c r="D232" s="7">
        <v>1430254.5</v>
      </c>
      <c r="E232" s="8">
        <f t="array" ref="E232">INDEX('Лист2'!$C$2:$C$505, MATCH(A232&amp;B232, 'Лист2'!$A$2:$A$505&amp;'Лист2'!$B$2:$B$505, 0))</f>
        <v>16</v>
      </c>
      <c r="F232" s="8">
        <f t="array" ref="F232">INDEX('Лист2'!$D$2:$D$505, MATCH(A232&amp;B232, 'Лист2'!$A$2:$A$505&amp;'Лист2'!$B$2:$B$505, 0))</f>
        <v>1050</v>
      </c>
      <c r="G232" s="8">
        <f t="array" ref="G232">INDEX('Лист2'!$E$2:$E$505, MATCH(A232&amp;B232, 'Лист2'!$A$2:$A$505&amp;'Лист2'!$B$2:$B$505, 0))</f>
        <v>938</v>
      </c>
      <c r="H232" s="9">
        <f t="shared" si="1"/>
        <v>1083.09375</v>
      </c>
      <c r="I232" s="9">
        <f t="shared" si="2"/>
        <v>21</v>
      </c>
      <c r="J232" s="10">
        <f t="shared" si="3"/>
        <v>0.02882206703</v>
      </c>
    </row>
    <row r="233" ht="14.25" customHeight="1">
      <c r="A233" s="11">
        <v>43956.0</v>
      </c>
      <c r="B233" s="12" t="s">
        <v>19</v>
      </c>
      <c r="C233" s="12">
        <v>15987.0</v>
      </c>
      <c r="D233" s="12">
        <v>1384179.0</v>
      </c>
      <c r="E233" s="8">
        <f t="array" ref="E233">INDEX('Лист2'!$C$2:$C$505, MATCH(A233&amp;B233, 'Лист2'!$A$2:$A$505&amp;'Лист2'!$B$2:$B$505, 0))</f>
        <v>15</v>
      </c>
      <c r="F233" s="8">
        <f t="array" ref="F233">INDEX('Лист2'!$D$2:$D$505, MATCH(A233&amp;B233, 'Лист2'!$A$2:$A$505&amp;'Лист2'!$B$2:$B$505, 0))</f>
        <v>922</v>
      </c>
      <c r="G233" s="8">
        <f t="array" ref="G233">INDEX('Лист2'!$E$2:$E$505, MATCH(A233&amp;B233, 'Лист2'!$A$2:$A$505&amp;'Лист2'!$B$2:$B$505, 0))</f>
        <v>823</v>
      </c>
      <c r="H233" s="9">
        <f t="shared" si="1"/>
        <v>1065.8</v>
      </c>
      <c r="I233" s="9">
        <f t="shared" si="2"/>
        <v>19</v>
      </c>
      <c r="J233" s="10">
        <f t="shared" si="3"/>
        <v>0.02789356714</v>
      </c>
    </row>
    <row r="234" ht="14.25" customHeight="1">
      <c r="A234" s="6">
        <v>43949.0</v>
      </c>
      <c r="B234" s="7" t="s">
        <v>19</v>
      </c>
      <c r="C234" s="7">
        <v>13303.5</v>
      </c>
      <c r="D234" s="7">
        <v>1102887.0</v>
      </c>
      <c r="E234" s="8">
        <f t="array" ref="E234">INDEX('Лист2'!$C$2:$C$505, MATCH(A234&amp;B234, 'Лист2'!$A$2:$A$505&amp;'Лист2'!$B$2:$B$505, 0))</f>
        <v>15</v>
      </c>
      <c r="F234" s="8">
        <f t="array" ref="F234">INDEX('Лист2'!$D$2:$D$505, MATCH(A234&amp;B234, 'Лист2'!$A$2:$A$505&amp;'Лист2'!$B$2:$B$505, 0))</f>
        <v>780</v>
      </c>
      <c r="G234" s="8">
        <f t="array" ref="G234">INDEX('Лист2'!$E$2:$E$505, MATCH(A234&amp;B234, 'Лист2'!$A$2:$A$505&amp;'Лист2'!$B$2:$B$505, 0))</f>
        <v>690</v>
      </c>
      <c r="H234" s="9">
        <f t="shared" si="1"/>
        <v>886.9</v>
      </c>
      <c r="I234" s="9">
        <f t="shared" si="2"/>
        <v>18</v>
      </c>
      <c r="J234" s="10">
        <f t="shared" si="3"/>
        <v>0.02222505368</v>
      </c>
    </row>
    <row r="235" ht="14.25" customHeight="1">
      <c r="A235" s="11">
        <v>43964.0</v>
      </c>
      <c r="B235" s="12" t="s">
        <v>19</v>
      </c>
      <c r="C235" s="12">
        <v>14305.5</v>
      </c>
      <c r="D235" s="12">
        <v>1243507.5</v>
      </c>
      <c r="E235" s="8">
        <f t="array" ref="E235">INDEX('Лист2'!$C$2:$C$505, MATCH(A235&amp;B235, 'Лист2'!$A$2:$A$505&amp;'Лист2'!$B$2:$B$505, 0))</f>
        <v>15</v>
      </c>
      <c r="F235" s="8">
        <f t="array" ref="F235">INDEX('Лист2'!$D$2:$D$505, MATCH(A235&amp;B235, 'Лист2'!$A$2:$A$505&amp;'Лист2'!$B$2:$B$505, 0))</f>
        <v>898</v>
      </c>
      <c r="G235" s="8">
        <f t="array" ref="G235">INDEX('Лист2'!$E$2:$E$505, MATCH(A235&amp;B235, 'Лист2'!$A$2:$A$505&amp;'Лист2'!$B$2:$B$505, 0))</f>
        <v>795</v>
      </c>
      <c r="H235" s="9">
        <f t="shared" si="1"/>
        <v>953.7</v>
      </c>
      <c r="I235" s="9">
        <f t="shared" si="2"/>
        <v>20</v>
      </c>
      <c r="J235" s="10">
        <f t="shared" si="3"/>
        <v>0.02505879654</v>
      </c>
    </row>
    <row r="236" ht="14.25" customHeight="1">
      <c r="A236" s="6">
        <v>43954.0</v>
      </c>
      <c r="B236" s="7" t="s">
        <v>19</v>
      </c>
      <c r="C236" s="7">
        <v>12924.0</v>
      </c>
      <c r="D236" s="7">
        <v>1120009.5</v>
      </c>
      <c r="E236" s="8">
        <f t="array" ref="E236">INDEX('Лист2'!$C$2:$C$505, MATCH(A236&amp;B236, 'Лист2'!$A$2:$A$505&amp;'Лист2'!$B$2:$B$505, 0))</f>
        <v>15</v>
      </c>
      <c r="F236" s="8">
        <f t="array" ref="F236">INDEX('Лист2'!$D$2:$D$505, MATCH(A236&amp;B236, 'Лист2'!$A$2:$A$505&amp;'Лист2'!$B$2:$B$505, 0))</f>
        <v>784</v>
      </c>
      <c r="G236" s="8">
        <f t="array" ref="G236">INDEX('Лист2'!$E$2:$E$505, MATCH(A236&amp;B236, 'Лист2'!$A$2:$A$505&amp;'Лист2'!$B$2:$B$505, 0))</f>
        <v>696</v>
      </c>
      <c r="H236" s="9">
        <f t="shared" si="1"/>
        <v>861.6</v>
      </c>
      <c r="I236" s="9">
        <f t="shared" si="2"/>
        <v>18</v>
      </c>
      <c r="J236" s="10">
        <f t="shared" si="3"/>
        <v>0.02257010126</v>
      </c>
    </row>
    <row r="237" ht="14.25" customHeight="1">
      <c r="A237" s="11">
        <v>43957.0</v>
      </c>
      <c r="B237" s="12" t="s">
        <v>19</v>
      </c>
      <c r="C237" s="12">
        <v>14061.0</v>
      </c>
      <c r="D237" s="12">
        <v>1221057.0</v>
      </c>
      <c r="E237" s="8">
        <f t="array" ref="E237">INDEX('Лист2'!$C$2:$C$505, MATCH(A237&amp;B237, 'Лист2'!$A$2:$A$505&amp;'Лист2'!$B$2:$B$505, 0))</f>
        <v>15</v>
      </c>
      <c r="F237" s="8">
        <f t="array" ref="F237">INDEX('Лист2'!$D$2:$D$505, MATCH(A237&amp;B237, 'Лист2'!$A$2:$A$505&amp;'Лист2'!$B$2:$B$505, 0))</f>
        <v>839</v>
      </c>
      <c r="G237" s="8">
        <f t="array" ref="G237">INDEX('Лист2'!$E$2:$E$505, MATCH(A237&amp;B237, 'Лист2'!$A$2:$A$505&amp;'Лист2'!$B$2:$B$505, 0))</f>
        <v>733</v>
      </c>
      <c r="H237" s="9">
        <f t="shared" si="1"/>
        <v>937.4</v>
      </c>
      <c r="I237" s="9">
        <f t="shared" si="2"/>
        <v>19</v>
      </c>
      <c r="J237" s="10">
        <f t="shared" si="3"/>
        <v>0.02460638069</v>
      </c>
    </row>
    <row r="238" ht="14.25" customHeight="1">
      <c r="A238" s="6">
        <v>43974.0</v>
      </c>
      <c r="B238" s="7" t="s">
        <v>19</v>
      </c>
      <c r="C238" s="7">
        <v>21958.5</v>
      </c>
      <c r="D238" s="7">
        <v>1854001.5</v>
      </c>
      <c r="E238" s="8">
        <f t="array" ref="E238">INDEX('Лист2'!$C$2:$C$505, MATCH(A238&amp;B238, 'Лист2'!$A$2:$A$505&amp;'Лист2'!$B$2:$B$505, 0))</f>
        <v>17</v>
      </c>
      <c r="F238" s="8">
        <f t="array" ref="F238">INDEX('Лист2'!$D$2:$D$505, MATCH(A238&amp;B238, 'Лист2'!$A$2:$A$505&amp;'Лист2'!$B$2:$B$505, 0))</f>
        <v>1294</v>
      </c>
      <c r="G238" s="8">
        <f t="array" ref="G238">INDEX('Лист2'!$E$2:$E$505, MATCH(A238&amp;B238, 'Лист2'!$A$2:$A$505&amp;'Лист2'!$B$2:$B$505, 0))</f>
        <v>1155</v>
      </c>
      <c r="H238" s="9">
        <f t="shared" si="1"/>
        <v>1291.676471</v>
      </c>
      <c r="I238" s="9">
        <f t="shared" si="2"/>
        <v>21</v>
      </c>
      <c r="J238" s="10">
        <f t="shared" si="3"/>
        <v>0.03736129165</v>
      </c>
    </row>
    <row r="239" ht="14.25" customHeight="1">
      <c r="A239" s="11">
        <v>43976.0</v>
      </c>
      <c r="B239" s="12" t="s">
        <v>19</v>
      </c>
      <c r="C239" s="12">
        <v>17211.0</v>
      </c>
      <c r="D239" s="12">
        <v>1507867.5</v>
      </c>
      <c r="E239" s="8">
        <f t="array" ref="E239">INDEX('Лист2'!$C$2:$C$505, MATCH(A239&amp;B239, 'Лист2'!$A$2:$A$505&amp;'Лист2'!$B$2:$B$505, 0))</f>
        <v>17</v>
      </c>
      <c r="F239" s="8">
        <f t="array" ref="F239">INDEX('Лист2'!$D$2:$D$505, MATCH(A239&amp;B239, 'Лист2'!$A$2:$A$505&amp;'Лист2'!$B$2:$B$505, 0))</f>
        <v>1142</v>
      </c>
      <c r="G239" s="8">
        <f t="array" ref="G239">INDEX('Лист2'!$E$2:$E$505, MATCH(A239&amp;B239, 'Лист2'!$A$2:$A$505&amp;'Лист2'!$B$2:$B$505, 0))</f>
        <v>1020</v>
      </c>
      <c r="H239" s="9">
        <f t="shared" si="1"/>
        <v>1012.411765</v>
      </c>
      <c r="I239" s="9">
        <f t="shared" si="2"/>
        <v>22</v>
      </c>
      <c r="J239" s="10">
        <f t="shared" si="3"/>
        <v>0.03038610133</v>
      </c>
    </row>
    <row r="240" ht="14.25" customHeight="1">
      <c r="A240" s="6">
        <v>43951.0</v>
      </c>
      <c r="B240" s="7" t="s">
        <v>19</v>
      </c>
      <c r="C240" s="7">
        <v>12753.0</v>
      </c>
      <c r="D240" s="7">
        <v>1103068.5</v>
      </c>
      <c r="E240" s="8">
        <f t="array" ref="E240">INDEX('Лист2'!$C$2:$C$505, MATCH(A240&amp;B240, 'Лист2'!$A$2:$A$505&amp;'Лист2'!$B$2:$B$505, 0))</f>
        <v>15</v>
      </c>
      <c r="F240" s="8">
        <f t="array" ref="F240">INDEX('Лист2'!$D$2:$D$505, MATCH(A240&amp;B240, 'Лист2'!$A$2:$A$505&amp;'Лист2'!$B$2:$B$505, 0))</f>
        <v>791</v>
      </c>
      <c r="G240" s="8">
        <f t="array" ref="G240">INDEX('Лист2'!$E$2:$E$505, MATCH(A240&amp;B240, 'Лист2'!$A$2:$A$505&amp;'Лист2'!$B$2:$B$505, 0))</f>
        <v>691</v>
      </c>
      <c r="H240" s="9">
        <f t="shared" si="1"/>
        <v>850.2</v>
      </c>
      <c r="I240" s="9">
        <f t="shared" si="2"/>
        <v>18</v>
      </c>
      <c r="J240" s="10">
        <f t="shared" si="3"/>
        <v>0.02222871122</v>
      </c>
    </row>
    <row r="241" ht="14.25" customHeight="1">
      <c r="A241" s="11">
        <v>43961.0</v>
      </c>
      <c r="B241" s="12" t="s">
        <v>19</v>
      </c>
      <c r="C241" s="12">
        <v>16435.5</v>
      </c>
      <c r="D241" s="12">
        <v>1471537.5</v>
      </c>
      <c r="E241" s="8">
        <f t="array" ref="E241">INDEX('Лист2'!$C$2:$C$505, MATCH(A241&amp;B241, 'Лист2'!$A$2:$A$505&amp;'Лист2'!$B$2:$B$505, 0))</f>
        <v>15</v>
      </c>
      <c r="F241" s="8">
        <f t="array" ref="F241">INDEX('Лист2'!$D$2:$D$505, MATCH(A241&amp;B241, 'Лист2'!$A$2:$A$505&amp;'Лист2'!$B$2:$B$505, 0))</f>
        <v>950</v>
      </c>
      <c r="G241" s="8">
        <f t="array" ref="G241">INDEX('Лист2'!$E$2:$E$505, MATCH(A241&amp;B241, 'Лист2'!$A$2:$A$505&amp;'Лист2'!$B$2:$B$505, 0))</f>
        <v>848</v>
      </c>
      <c r="H241" s="9">
        <f t="shared" si="1"/>
        <v>1095.7</v>
      </c>
      <c r="I241" s="9">
        <f t="shared" si="2"/>
        <v>19</v>
      </c>
      <c r="J241" s="10">
        <f t="shared" si="3"/>
        <v>0.02965398988</v>
      </c>
    </row>
    <row r="242" ht="14.25" customHeight="1">
      <c r="A242" s="6">
        <v>43959.0</v>
      </c>
      <c r="B242" s="7" t="s">
        <v>19</v>
      </c>
      <c r="C242" s="7">
        <v>14494.5</v>
      </c>
      <c r="D242" s="7">
        <v>1269786.0</v>
      </c>
      <c r="E242" s="8">
        <f t="array" ref="E242">INDEX('Лист2'!$C$2:$C$505, MATCH(A242&amp;B242, 'Лист2'!$A$2:$A$505&amp;'Лист2'!$B$2:$B$505, 0))</f>
        <v>15</v>
      </c>
      <c r="F242" s="8">
        <f t="array" ref="F242">INDEX('Лист2'!$D$2:$D$505, MATCH(A242&amp;B242, 'Лист2'!$A$2:$A$505&amp;'Лист2'!$B$2:$B$505, 0))</f>
        <v>879</v>
      </c>
      <c r="G242" s="8">
        <f t="array" ref="G242">INDEX('Лист2'!$E$2:$E$505, MATCH(A242&amp;B242, 'Лист2'!$A$2:$A$505&amp;'Лист2'!$B$2:$B$505, 0))</f>
        <v>768</v>
      </c>
      <c r="H242" s="9">
        <f t="shared" si="1"/>
        <v>966.3</v>
      </c>
      <c r="I242" s="9">
        <f t="shared" si="2"/>
        <v>19</v>
      </c>
      <c r="J242" s="10">
        <f t="shared" si="3"/>
        <v>0.02558835313</v>
      </c>
    </row>
    <row r="243" ht="14.25" customHeight="1">
      <c r="A243" s="11">
        <v>43958.0</v>
      </c>
      <c r="B243" s="12" t="s">
        <v>19</v>
      </c>
      <c r="C243" s="12">
        <v>12705.0</v>
      </c>
      <c r="D243" s="12">
        <v>1123894.5</v>
      </c>
      <c r="E243" s="8">
        <f t="array" ref="E243">INDEX('Лист2'!$C$2:$C$505, MATCH(A243&amp;B243, 'Лист2'!$A$2:$A$505&amp;'Лист2'!$B$2:$B$505, 0))</f>
        <v>15</v>
      </c>
      <c r="F243" s="8">
        <f t="array" ref="F243">INDEX('Лист2'!$D$2:$D$505, MATCH(A243&amp;B243, 'Лист2'!$A$2:$A$505&amp;'Лист2'!$B$2:$B$505, 0))</f>
        <v>805</v>
      </c>
      <c r="G243" s="8">
        <f t="array" ref="G243">INDEX('Лист2'!$E$2:$E$505, MATCH(A243&amp;B243, 'Лист2'!$A$2:$A$505&amp;'Лист2'!$B$2:$B$505, 0))</f>
        <v>703</v>
      </c>
      <c r="H243" s="9">
        <f t="shared" si="1"/>
        <v>847</v>
      </c>
      <c r="I243" s="9">
        <f t="shared" si="2"/>
        <v>19</v>
      </c>
      <c r="J243" s="10">
        <f t="shared" si="3"/>
        <v>0.02264839063</v>
      </c>
    </row>
    <row r="244" ht="14.25" customHeight="1">
      <c r="A244" s="6">
        <v>43975.0</v>
      </c>
      <c r="B244" s="7" t="s">
        <v>19</v>
      </c>
      <c r="C244" s="7">
        <v>18075.0</v>
      </c>
      <c r="D244" s="7">
        <v>1548099.0</v>
      </c>
      <c r="E244" s="8">
        <f t="array" ref="E244">INDEX('Лист2'!$C$2:$C$505, MATCH(A244&amp;B244, 'Лист2'!$A$2:$A$505&amp;'Лист2'!$B$2:$B$505, 0))</f>
        <v>17</v>
      </c>
      <c r="F244" s="8">
        <f t="array" ref="F244">INDEX('Лист2'!$D$2:$D$505, MATCH(A244&amp;B244, 'Лист2'!$A$2:$A$505&amp;'Лист2'!$B$2:$B$505, 0))</f>
        <v>1128</v>
      </c>
      <c r="G244" s="8">
        <f t="array" ref="G244">INDEX('Лист2'!$E$2:$E$505, MATCH(A244&amp;B244, 'Лист2'!$A$2:$A$505&amp;'Лист2'!$B$2:$B$505, 0))</f>
        <v>1001</v>
      </c>
      <c r="H244" s="9">
        <f t="shared" si="1"/>
        <v>1063.235294</v>
      </c>
      <c r="I244" s="9">
        <f t="shared" si="2"/>
        <v>21</v>
      </c>
      <c r="J244" s="10">
        <f t="shared" si="3"/>
        <v>0.03119683466</v>
      </c>
    </row>
    <row r="245" ht="14.25" customHeight="1">
      <c r="A245" s="11">
        <v>43967.0</v>
      </c>
      <c r="B245" s="12" t="s">
        <v>20</v>
      </c>
      <c r="C245" s="12">
        <v>13120.5</v>
      </c>
      <c r="D245" s="12">
        <v>1215033.0</v>
      </c>
      <c r="E245" s="8">
        <f t="array" ref="E245">INDEX('Лист2'!$C$2:$C$505, MATCH(A245&amp;B245, 'Лист2'!$A$2:$A$505&amp;'Лист2'!$B$2:$B$505, 0))</f>
        <v>15</v>
      </c>
      <c r="F245" s="8">
        <f t="array" ref="F245">INDEX('Лист2'!$D$2:$D$505, MATCH(A245&amp;B245, 'Лист2'!$A$2:$A$505&amp;'Лист2'!$B$2:$B$505, 0))</f>
        <v>747</v>
      </c>
      <c r="G245" s="8">
        <f t="array" ref="G245">INDEX('Лист2'!$E$2:$E$505, MATCH(A245&amp;B245, 'Лист2'!$A$2:$A$505&amp;'Лист2'!$B$2:$B$505, 0))</f>
        <v>647</v>
      </c>
      <c r="H245" s="9">
        <f t="shared" si="1"/>
        <v>874.7</v>
      </c>
      <c r="I245" s="9">
        <f t="shared" si="2"/>
        <v>20</v>
      </c>
      <c r="J245" s="10">
        <f t="shared" si="3"/>
        <v>0.02448498681</v>
      </c>
    </row>
    <row r="246" ht="14.25" customHeight="1">
      <c r="A246" s="6">
        <v>43970.0</v>
      </c>
      <c r="B246" s="7" t="s">
        <v>20</v>
      </c>
      <c r="C246" s="7">
        <v>16237.5</v>
      </c>
      <c r="D246" s="7">
        <v>1403047.5</v>
      </c>
      <c r="E246" s="8">
        <f t="array" ref="E246">INDEX('Лист2'!$C$2:$C$505, MATCH(A246&amp;B246, 'Лист2'!$A$2:$A$505&amp;'Лист2'!$B$2:$B$505, 0))</f>
        <v>15</v>
      </c>
      <c r="F246" s="8">
        <f t="array" ref="F246">INDEX('Лист2'!$D$2:$D$505, MATCH(A246&amp;B246, 'Лист2'!$A$2:$A$505&amp;'Лист2'!$B$2:$B$505, 0))</f>
        <v>930</v>
      </c>
      <c r="G246" s="8">
        <f t="array" ref="G246">INDEX('Лист2'!$E$2:$E$505, MATCH(A246&amp;B246, 'Лист2'!$A$2:$A$505&amp;'Лист2'!$B$2:$B$505, 0))</f>
        <v>827</v>
      </c>
      <c r="H246" s="9">
        <f t="shared" si="1"/>
        <v>1082.5</v>
      </c>
      <c r="I246" s="9">
        <f t="shared" si="2"/>
        <v>21</v>
      </c>
      <c r="J246" s="10">
        <f t="shared" si="3"/>
        <v>0.02827379959</v>
      </c>
    </row>
    <row r="247" ht="14.25" customHeight="1">
      <c r="A247" s="11">
        <v>43968.0</v>
      </c>
      <c r="B247" s="12" t="s">
        <v>20</v>
      </c>
      <c r="C247" s="12">
        <v>11967.0</v>
      </c>
      <c r="D247" s="12">
        <v>1060489.5</v>
      </c>
      <c r="E247" s="8">
        <f t="array" ref="E247">INDEX('Лист2'!$C$2:$C$505, MATCH(A247&amp;B247, 'Лист2'!$A$2:$A$505&amp;'Лист2'!$B$2:$B$505, 0))</f>
        <v>15</v>
      </c>
      <c r="F247" s="8">
        <f t="array" ref="F247">INDEX('Лист2'!$D$2:$D$505, MATCH(A247&amp;B247, 'Лист2'!$A$2:$A$505&amp;'Лист2'!$B$2:$B$505, 0))</f>
        <v>692</v>
      </c>
      <c r="G247" s="8">
        <f t="array" ref="G247">INDEX('Лист2'!$E$2:$E$505, MATCH(A247&amp;B247, 'Лист2'!$A$2:$A$505&amp;'Лист2'!$B$2:$B$505, 0))</f>
        <v>591</v>
      </c>
      <c r="H247" s="9">
        <f t="shared" si="1"/>
        <v>797.8</v>
      </c>
      <c r="I247" s="9">
        <f t="shared" si="2"/>
        <v>20</v>
      </c>
      <c r="J247" s="10">
        <f t="shared" si="3"/>
        <v>0.02137067176</v>
      </c>
    </row>
    <row r="248" ht="14.25" customHeight="1">
      <c r="A248" s="6">
        <v>43960.0</v>
      </c>
      <c r="B248" s="7" t="s">
        <v>20</v>
      </c>
      <c r="C248" s="7">
        <v>12037.5</v>
      </c>
      <c r="D248" s="7">
        <v>1081216.5</v>
      </c>
      <c r="E248" s="8">
        <f t="array" ref="E248">INDEX('Лист2'!$C$2:$C$505, MATCH(A248&amp;B248, 'Лист2'!$A$2:$A$505&amp;'Лист2'!$B$2:$B$505, 0))</f>
        <v>15</v>
      </c>
      <c r="F248" s="8">
        <f t="array" ref="F248">INDEX('Лист2'!$D$2:$D$505, MATCH(A248&amp;B248, 'Лист2'!$A$2:$A$505&amp;'Лист2'!$B$2:$B$505, 0))</f>
        <v>623</v>
      </c>
      <c r="G248" s="8">
        <f t="array" ref="G248">INDEX('Лист2'!$E$2:$E$505, MATCH(A248&amp;B248, 'Лист2'!$A$2:$A$505&amp;'Лист2'!$B$2:$B$505, 0))</f>
        <v>535</v>
      </c>
      <c r="H248" s="9">
        <f t="shared" si="1"/>
        <v>802.5</v>
      </c>
      <c r="I248" s="9">
        <f t="shared" si="2"/>
        <v>19</v>
      </c>
      <c r="J248" s="10">
        <f t="shared" si="3"/>
        <v>0.02178835616</v>
      </c>
    </row>
    <row r="249" ht="14.25" customHeight="1">
      <c r="A249" s="11">
        <v>43955.0</v>
      </c>
      <c r="B249" s="12" t="s">
        <v>20</v>
      </c>
      <c r="C249" s="12">
        <v>7087.5</v>
      </c>
      <c r="D249" s="12">
        <v>610855.5</v>
      </c>
      <c r="E249" s="8">
        <f t="array" ref="E249">INDEX('Лист2'!$C$2:$C$505, MATCH(A249&amp;B249, 'Лист2'!$A$2:$A$505&amp;'Лист2'!$B$2:$B$505, 0))</f>
        <v>15</v>
      </c>
      <c r="F249" s="8">
        <f t="array" ref="F249">INDEX('Лист2'!$D$2:$D$505, MATCH(A249&amp;B249, 'Лист2'!$A$2:$A$505&amp;'Лист2'!$B$2:$B$505, 0))</f>
        <v>390</v>
      </c>
      <c r="G249" s="8">
        <f t="array" ref="G249">INDEX('Лист2'!$E$2:$E$505, MATCH(A249&amp;B249, 'Лист2'!$A$2:$A$505&amp;'Лист2'!$B$2:$B$505, 0))</f>
        <v>315</v>
      </c>
      <c r="H249" s="9">
        <f t="shared" si="1"/>
        <v>472.5</v>
      </c>
      <c r="I249" s="9">
        <f t="shared" si="2"/>
        <v>19</v>
      </c>
      <c r="J249" s="10">
        <f t="shared" si="3"/>
        <v>0.01230977995</v>
      </c>
    </row>
    <row r="250" ht="14.25" customHeight="1">
      <c r="A250" s="6">
        <v>43950.0</v>
      </c>
      <c r="B250" s="7" t="s">
        <v>21</v>
      </c>
      <c r="C250" s="7">
        <v>25816.5</v>
      </c>
      <c r="D250" s="7">
        <v>2360914.5</v>
      </c>
      <c r="E250" s="8">
        <f t="array" ref="E250">INDEX('Лист2'!$C$2:$C$505, MATCH(A250&amp;B250, 'Лист2'!$A$2:$A$505&amp;'Лист2'!$B$2:$B$505, 0))</f>
        <v>18</v>
      </c>
      <c r="F250" s="8">
        <f t="array" ref="F250">INDEX('Лист2'!$D$2:$D$505, MATCH(A250&amp;B250, 'Лист2'!$A$2:$A$505&amp;'Лист2'!$B$2:$B$505, 0))</f>
        <v>1599</v>
      </c>
      <c r="G250" s="8">
        <f t="array" ref="G250">INDEX('Лист2'!$E$2:$E$505, MATCH(A250&amp;B250, 'Лист2'!$A$2:$A$505&amp;'Лист2'!$B$2:$B$505, 0))</f>
        <v>1450</v>
      </c>
      <c r="H250" s="9">
        <f t="shared" si="1"/>
        <v>1434.25</v>
      </c>
      <c r="I250" s="9">
        <f t="shared" si="2"/>
        <v>18</v>
      </c>
      <c r="J250" s="10">
        <f t="shared" si="3"/>
        <v>0.04757645299</v>
      </c>
    </row>
    <row r="251" ht="14.25" customHeight="1">
      <c r="A251" s="11">
        <v>43953.0</v>
      </c>
      <c r="B251" s="12" t="s">
        <v>20</v>
      </c>
      <c r="C251" s="12">
        <v>4624.5</v>
      </c>
      <c r="D251" s="12">
        <v>433243.5</v>
      </c>
      <c r="E251" s="8">
        <f t="array" ref="E251">INDEX('Лист2'!$C$2:$C$505, MATCH(A251&amp;B251, 'Лист2'!$A$2:$A$505&amp;'Лист2'!$B$2:$B$505, 0))</f>
        <v>15</v>
      </c>
      <c r="F251" s="8">
        <f t="array" ref="F251">INDEX('Лист2'!$D$2:$D$505, MATCH(A251&amp;B251, 'Лист2'!$A$2:$A$505&amp;'Лист2'!$B$2:$B$505, 0))</f>
        <v>274</v>
      </c>
      <c r="G251" s="8">
        <f t="array" ref="G251">INDEX('Лист2'!$E$2:$E$505, MATCH(A251&amp;B251, 'Лист2'!$A$2:$A$505&amp;'Лист2'!$B$2:$B$505, 0))</f>
        <v>203</v>
      </c>
      <c r="H251" s="9">
        <f t="shared" si="1"/>
        <v>308.3</v>
      </c>
      <c r="I251" s="9">
        <f t="shared" si="2"/>
        <v>18</v>
      </c>
      <c r="J251" s="10">
        <f t="shared" si="3"/>
        <v>0.008730595288</v>
      </c>
    </row>
    <row r="252" ht="14.25" customHeight="1">
      <c r="A252" s="6">
        <v>43977.0</v>
      </c>
      <c r="B252" s="7" t="s">
        <v>20</v>
      </c>
      <c r="C252" s="7">
        <v>12259.5</v>
      </c>
      <c r="D252" s="7">
        <v>1152054.0</v>
      </c>
      <c r="E252" s="8">
        <f t="array" ref="E252">INDEX('Лист2'!$C$2:$C$505, MATCH(A252&amp;B252, 'Лист2'!$A$2:$A$505&amp;'Лист2'!$B$2:$B$505, 0))</f>
        <v>15</v>
      </c>
      <c r="F252" s="8">
        <f t="array" ref="F252">INDEX('Лист2'!$D$2:$D$505, MATCH(A252&amp;B252, 'Лист2'!$A$2:$A$505&amp;'Лист2'!$B$2:$B$505, 0))</f>
        <v>812</v>
      </c>
      <c r="G252" s="8">
        <f t="array" ref="G252">INDEX('Лист2'!$E$2:$E$505, MATCH(A252&amp;B252, 'Лист2'!$A$2:$A$505&amp;'Лист2'!$B$2:$B$505, 0))</f>
        <v>711</v>
      </c>
      <c r="H252" s="9">
        <f t="shared" si="1"/>
        <v>817.3</v>
      </c>
      <c r="I252" s="9">
        <f t="shared" si="2"/>
        <v>22</v>
      </c>
      <c r="J252" s="10">
        <f t="shared" si="3"/>
        <v>0.02321585257</v>
      </c>
    </row>
    <row r="253" ht="14.25" customHeight="1">
      <c r="A253" s="11">
        <v>43952.0</v>
      </c>
      <c r="B253" s="12" t="s">
        <v>20</v>
      </c>
      <c r="C253" s="12">
        <v>5446.5</v>
      </c>
      <c r="D253" s="12">
        <v>505572.0</v>
      </c>
      <c r="E253" s="8">
        <f t="array" ref="E253">INDEX('Лист2'!$C$2:$C$505, MATCH(A253&amp;B253, 'Лист2'!$A$2:$A$505&amp;'Лист2'!$B$2:$B$505, 0))</f>
        <v>15</v>
      </c>
      <c r="F253" s="8">
        <f t="array" ref="F253">INDEX('Лист2'!$D$2:$D$505, MATCH(A253&amp;B253, 'Лист2'!$A$2:$A$505&amp;'Лист2'!$B$2:$B$505, 0))</f>
        <v>294</v>
      </c>
      <c r="G253" s="8">
        <f t="array" ref="G253">INDEX('Лист2'!$E$2:$E$505, MATCH(A253&amp;B253, 'Лист2'!$A$2:$A$505&amp;'Лист2'!$B$2:$B$505, 0))</f>
        <v>225</v>
      </c>
      <c r="H253" s="9">
        <f t="shared" si="1"/>
        <v>363.1</v>
      </c>
      <c r="I253" s="9">
        <f t="shared" si="2"/>
        <v>18</v>
      </c>
      <c r="J253" s="10">
        <f t="shared" si="3"/>
        <v>0.0101881379</v>
      </c>
    </row>
    <row r="254" ht="14.25" customHeight="1">
      <c r="A254" s="6">
        <v>43963.0</v>
      </c>
      <c r="B254" s="7" t="s">
        <v>20</v>
      </c>
      <c r="C254" s="7">
        <v>11296.5</v>
      </c>
      <c r="D254" s="7">
        <v>989632.5</v>
      </c>
      <c r="E254" s="8">
        <f t="array" ref="E254">INDEX('Лист2'!$C$2:$C$505, MATCH(A254&amp;B254, 'Лист2'!$A$2:$A$505&amp;'Лист2'!$B$2:$B$505, 0))</f>
        <v>15</v>
      </c>
      <c r="F254" s="8">
        <f t="array" ref="F254">INDEX('Лист2'!$D$2:$D$505, MATCH(A254&amp;B254, 'Лист2'!$A$2:$A$505&amp;'Лист2'!$B$2:$B$505, 0))</f>
        <v>624</v>
      </c>
      <c r="G254" s="8">
        <f t="array" ref="G254">INDEX('Лист2'!$E$2:$E$505, MATCH(A254&amp;B254, 'Лист2'!$A$2:$A$505&amp;'Лист2'!$B$2:$B$505, 0))</f>
        <v>538</v>
      </c>
      <c r="H254" s="9">
        <f t="shared" si="1"/>
        <v>753.1</v>
      </c>
      <c r="I254" s="9">
        <f t="shared" si="2"/>
        <v>20</v>
      </c>
      <c r="J254" s="10">
        <f t="shared" si="3"/>
        <v>0.01994278239</v>
      </c>
    </row>
    <row r="255" ht="14.25" customHeight="1">
      <c r="A255" s="11">
        <v>43972.0</v>
      </c>
      <c r="B255" s="12" t="s">
        <v>20</v>
      </c>
      <c r="C255" s="12">
        <v>12135.0</v>
      </c>
      <c r="D255" s="12">
        <v>1103623.5</v>
      </c>
      <c r="E255" s="8">
        <f t="array" ref="E255">INDEX('Лист2'!$C$2:$C$505, MATCH(A255&amp;B255, 'Лист2'!$A$2:$A$505&amp;'Лист2'!$B$2:$B$505, 0))</f>
        <v>15</v>
      </c>
      <c r="F255" s="8">
        <f t="array" ref="F255">INDEX('Лист2'!$D$2:$D$505, MATCH(A255&amp;B255, 'Лист2'!$A$2:$A$505&amp;'Лист2'!$B$2:$B$505, 0))</f>
        <v>749</v>
      </c>
      <c r="G255" s="8">
        <f t="array" ref="G255">INDEX('Лист2'!$E$2:$E$505, MATCH(A255&amp;B255, 'Лист2'!$A$2:$A$505&amp;'Лист2'!$B$2:$B$505, 0))</f>
        <v>652</v>
      </c>
      <c r="H255" s="9">
        <f t="shared" si="1"/>
        <v>809</v>
      </c>
      <c r="I255" s="9">
        <f t="shared" si="2"/>
        <v>21</v>
      </c>
      <c r="J255" s="10">
        <f t="shared" si="3"/>
        <v>0.02223989542</v>
      </c>
    </row>
    <row r="256" ht="14.25" customHeight="1">
      <c r="A256" s="6">
        <v>43971.0</v>
      </c>
      <c r="B256" s="7" t="s">
        <v>20</v>
      </c>
      <c r="C256" s="7">
        <v>12630.0</v>
      </c>
      <c r="D256" s="7">
        <v>1104858.0</v>
      </c>
      <c r="E256" s="8">
        <f t="array" ref="E256">INDEX('Лист2'!$C$2:$C$505, MATCH(A256&amp;B256, 'Лист2'!$A$2:$A$505&amp;'Лист2'!$B$2:$B$505, 0))</f>
        <v>15</v>
      </c>
      <c r="F256" s="8">
        <f t="array" ref="F256">INDEX('Лист2'!$D$2:$D$505, MATCH(A256&amp;B256, 'Лист2'!$A$2:$A$505&amp;'Лист2'!$B$2:$B$505, 0))</f>
        <v>760</v>
      </c>
      <c r="G256" s="8">
        <f t="array" ref="G256">INDEX('Лист2'!$E$2:$E$505, MATCH(A256&amp;B256, 'Лист2'!$A$2:$A$505&amp;'Лист2'!$B$2:$B$505, 0))</f>
        <v>664</v>
      </c>
      <c r="H256" s="9">
        <f t="shared" si="1"/>
        <v>842</v>
      </c>
      <c r="I256" s="9">
        <f t="shared" si="2"/>
        <v>21</v>
      </c>
      <c r="J256" s="10">
        <f t="shared" si="3"/>
        <v>0.0222647727</v>
      </c>
    </row>
    <row r="257" ht="14.25" customHeight="1">
      <c r="A257" s="11">
        <v>43956.0</v>
      </c>
      <c r="B257" s="12" t="s">
        <v>20</v>
      </c>
      <c r="C257" s="12">
        <v>8223.0</v>
      </c>
      <c r="D257" s="12">
        <v>694593.0</v>
      </c>
      <c r="E257" s="8">
        <f t="array" ref="E257">INDEX('Лист2'!$C$2:$C$505, MATCH(A257&amp;B257, 'Лист2'!$A$2:$A$505&amp;'Лист2'!$B$2:$B$505, 0))</f>
        <v>15</v>
      </c>
      <c r="F257" s="8">
        <f t="array" ref="F257">INDEX('Лист2'!$D$2:$D$505, MATCH(A257&amp;B257, 'Лист2'!$A$2:$A$505&amp;'Лист2'!$B$2:$B$505, 0))</f>
        <v>455</v>
      </c>
      <c r="G257" s="8">
        <f t="array" ref="G257">INDEX('Лист2'!$E$2:$E$505, MATCH(A257&amp;B257, 'Лист2'!$A$2:$A$505&amp;'Лист2'!$B$2:$B$505, 0))</f>
        <v>381</v>
      </c>
      <c r="H257" s="9">
        <f t="shared" si="1"/>
        <v>548.2</v>
      </c>
      <c r="I257" s="9">
        <f t="shared" si="2"/>
        <v>19</v>
      </c>
      <c r="J257" s="10">
        <f t="shared" si="3"/>
        <v>0.01399723336</v>
      </c>
    </row>
    <row r="258" ht="14.25" customHeight="1">
      <c r="A258" s="6">
        <v>43949.0</v>
      </c>
      <c r="B258" s="7" t="s">
        <v>21</v>
      </c>
      <c r="C258" s="7">
        <v>25149.0</v>
      </c>
      <c r="D258" s="7">
        <v>2277072.0</v>
      </c>
      <c r="E258" s="8">
        <f t="array" ref="E258">INDEX('Лист2'!$C$2:$C$505, MATCH(A258&amp;B258, 'Лист2'!$A$2:$A$505&amp;'Лист2'!$B$2:$B$505, 0))</f>
        <v>18</v>
      </c>
      <c r="F258" s="8">
        <f t="array" ref="F258">INDEX('Лист2'!$D$2:$D$505, MATCH(A258&amp;B258, 'Лист2'!$A$2:$A$505&amp;'Лист2'!$B$2:$B$505, 0))</f>
        <v>1505</v>
      </c>
      <c r="G258" s="8">
        <f t="array" ref="G258">INDEX('Лист2'!$E$2:$E$505, MATCH(A258&amp;B258, 'Лист2'!$A$2:$A$505&amp;'Лист2'!$B$2:$B$505, 0))</f>
        <v>1368</v>
      </c>
      <c r="H258" s="9">
        <f t="shared" si="1"/>
        <v>1397.166667</v>
      </c>
      <c r="I258" s="9">
        <f t="shared" si="2"/>
        <v>18</v>
      </c>
      <c r="J258" s="10">
        <f t="shared" si="3"/>
        <v>0.04588688365</v>
      </c>
    </row>
    <row r="259" ht="14.25" customHeight="1">
      <c r="A259" s="11">
        <v>43964.0</v>
      </c>
      <c r="B259" s="12" t="s">
        <v>20</v>
      </c>
      <c r="C259" s="12">
        <v>10401.0</v>
      </c>
      <c r="D259" s="12">
        <v>949912.5</v>
      </c>
      <c r="E259" s="8">
        <f t="array" ref="E259">INDEX('Лист2'!$C$2:$C$505, MATCH(A259&amp;B259, 'Лист2'!$A$2:$A$505&amp;'Лист2'!$B$2:$B$505, 0))</f>
        <v>15</v>
      </c>
      <c r="F259" s="8">
        <f t="array" ref="F259">INDEX('Лист2'!$D$2:$D$505, MATCH(A259&amp;B259, 'Лист2'!$A$2:$A$505&amp;'Лист2'!$B$2:$B$505, 0))</f>
        <v>599</v>
      </c>
      <c r="G259" s="8">
        <f t="array" ref="G259">INDEX('Лист2'!$E$2:$E$505, MATCH(A259&amp;B259, 'Лист2'!$A$2:$A$505&amp;'Лист2'!$B$2:$B$505, 0))</f>
        <v>515</v>
      </c>
      <c r="H259" s="9">
        <f t="shared" si="1"/>
        <v>693.4</v>
      </c>
      <c r="I259" s="9">
        <f t="shared" si="2"/>
        <v>20</v>
      </c>
      <c r="J259" s="10">
        <f t="shared" si="3"/>
        <v>0.01914235666</v>
      </c>
    </row>
    <row r="260" ht="14.25" customHeight="1">
      <c r="A260" s="6">
        <v>43982.0</v>
      </c>
      <c r="B260" s="7" t="s">
        <v>19</v>
      </c>
      <c r="C260" s="7">
        <v>17689.5</v>
      </c>
      <c r="D260" s="7">
        <v>1592119.5</v>
      </c>
      <c r="E260" s="8">
        <f t="array" ref="E260">INDEX('Лист2'!$C$2:$C$505, MATCH(A260&amp;B260, 'Лист2'!$A$2:$A$505&amp;'Лист2'!$B$2:$B$505, 0))</f>
        <v>17</v>
      </c>
      <c r="F260" s="8">
        <f t="array" ref="F260">INDEX('Лист2'!$D$2:$D$505, MATCH(A260&amp;B260, 'Лист2'!$A$2:$A$505&amp;'Лист2'!$B$2:$B$505, 0))</f>
        <v>1186</v>
      </c>
      <c r="G260" s="8">
        <f t="array" ref="G260">INDEX('Лист2'!$E$2:$E$505, MATCH(A260&amp;B260, 'Лист2'!$A$2:$A$505&amp;'Лист2'!$B$2:$B$505, 0))</f>
        <v>1054</v>
      </c>
      <c r="H260" s="9">
        <f t="shared" si="1"/>
        <v>1040.558824</v>
      </c>
      <c r="I260" s="9">
        <f t="shared" si="2"/>
        <v>22</v>
      </c>
      <c r="J260" s="10">
        <f t="shared" si="3"/>
        <v>0.03208392279</v>
      </c>
    </row>
    <row r="261" ht="14.25" customHeight="1">
      <c r="A261" s="11">
        <v>43954.0</v>
      </c>
      <c r="B261" s="12" t="s">
        <v>20</v>
      </c>
      <c r="C261" s="12">
        <v>8127.0</v>
      </c>
      <c r="D261" s="12">
        <v>665302.5</v>
      </c>
      <c r="E261" s="8">
        <f t="array" ref="E261">INDEX('Лист2'!$C$2:$C$505, MATCH(A261&amp;B261, 'Лист2'!$A$2:$A$505&amp;'Лист2'!$B$2:$B$505, 0))</f>
        <v>15</v>
      </c>
      <c r="F261" s="8">
        <f t="array" ref="F261">INDEX('Лист2'!$D$2:$D$505, MATCH(A261&amp;B261, 'Лист2'!$A$2:$A$505&amp;'Лист2'!$B$2:$B$505, 0))</f>
        <v>455</v>
      </c>
      <c r="G261" s="8">
        <f t="array" ref="G261">INDEX('Лист2'!$E$2:$E$505, MATCH(A261&amp;B261, 'Лист2'!$A$2:$A$505&amp;'Лист2'!$B$2:$B$505, 0))</f>
        <v>384</v>
      </c>
      <c r="H261" s="9">
        <f t="shared" si="1"/>
        <v>541.8</v>
      </c>
      <c r="I261" s="9">
        <f t="shared" si="2"/>
        <v>18</v>
      </c>
      <c r="J261" s="10">
        <f t="shared" si="3"/>
        <v>0.01340697984</v>
      </c>
    </row>
    <row r="262" ht="14.25" customHeight="1">
      <c r="A262" s="6">
        <v>43981.0</v>
      </c>
      <c r="B262" s="7" t="s">
        <v>19</v>
      </c>
      <c r="C262" s="7">
        <v>27250.5</v>
      </c>
      <c r="D262" s="7">
        <v>2457252.0</v>
      </c>
      <c r="E262" s="8">
        <f t="array" ref="E262">INDEX('Лист2'!$C$2:$C$505, MATCH(A262&amp;B262, 'Лист2'!$A$2:$A$505&amp;'Лист2'!$B$2:$B$505, 0))</f>
        <v>17</v>
      </c>
      <c r="F262" s="8">
        <f t="array" ref="F262">INDEX('Лист2'!$D$2:$D$505, MATCH(A262&amp;B262, 'Лист2'!$A$2:$A$505&amp;'Лист2'!$B$2:$B$505, 0))</f>
        <v>1697</v>
      </c>
      <c r="G262" s="8">
        <f t="array" ref="G262">INDEX('Лист2'!$E$2:$E$505, MATCH(A262&amp;B262, 'Лист2'!$A$2:$A$505&amp;'Лист2'!$B$2:$B$505, 0))</f>
        <v>1499</v>
      </c>
      <c r="H262" s="9">
        <f t="shared" si="1"/>
        <v>1602.970588</v>
      </c>
      <c r="I262" s="9">
        <f t="shared" si="2"/>
        <v>22</v>
      </c>
      <c r="J262" s="10">
        <f t="shared" si="3"/>
        <v>0.04951781789</v>
      </c>
    </row>
    <row r="263" ht="14.25" customHeight="1">
      <c r="A263" s="11">
        <v>43957.0</v>
      </c>
      <c r="B263" s="12" t="s">
        <v>20</v>
      </c>
      <c r="C263" s="12">
        <v>8464.5</v>
      </c>
      <c r="D263" s="12">
        <v>739291.5</v>
      </c>
      <c r="E263" s="8">
        <f t="array" ref="E263">INDEX('Лист2'!$C$2:$C$505, MATCH(A263&amp;B263, 'Лист2'!$A$2:$A$505&amp;'Лист2'!$B$2:$B$505, 0))</f>
        <v>15</v>
      </c>
      <c r="F263" s="8">
        <f t="array" ref="F263">INDEX('Лист2'!$D$2:$D$505, MATCH(A263&amp;B263, 'Лист2'!$A$2:$A$505&amp;'Лист2'!$B$2:$B$505, 0))</f>
        <v>467</v>
      </c>
      <c r="G263" s="8">
        <f t="array" ref="G263">INDEX('Лист2'!$E$2:$E$505, MATCH(A263&amp;B263, 'Лист2'!$A$2:$A$505&amp;'Лист2'!$B$2:$B$505, 0))</f>
        <v>389</v>
      </c>
      <c r="H263" s="9">
        <f t="shared" si="1"/>
        <v>564.3</v>
      </c>
      <c r="I263" s="9">
        <f t="shared" si="2"/>
        <v>19</v>
      </c>
      <c r="J263" s="10">
        <f t="shared" si="3"/>
        <v>0.01489798436</v>
      </c>
    </row>
    <row r="264" ht="14.25" customHeight="1">
      <c r="A264" s="6">
        <v>43974.0</v>
      </c>
      <c r="B264" s="7" t="s">
        <v>20</v>
      </c>
      <c r="C264" s="7">
        <v>14167.5</v>
      </c>
      <c r="D264" s="7">
        <v>1315075.5</v>
      </c>
      <c r="E264" s="8">
        <f t="array" ref="E264">INDEX('Лист2'!$C$2:$C$505, MATCH(A264&amp;B264, 'Лист2'!$A$2:$A$505&amp;'Лист2'!$B$2:$B$505, 0))</f>
        <v>15</v>
      </c>
      <c r="F264" s="8">
        <f t="array" ref="F264">INDEX('Лист2'!$D$2:$D$505, MATCH(A264&amp;B264, 'Лист2'!$A$2:$A$505&amp;'Лист2'!$B$2:$B$505, 0))</f>
        <v>840</v>
      </c>
      <c r="G264" s="8">
        <f t="array" ref="G264">INDEX('Лист2'!$E$2:$E$505, MATCH(A264&amp;B264, 'Лист2'!$A$2:$A$505&amp;'Лист2'!$B$2:$B$505, 0))</f>
        <v>725</v>
      </c>
      <c r="H264" s="9">
        <f t="shared" si="1"/>
        <v>944.5</v>
      </c>
      <c r="I264" s="9">
        <f t="shared" si="2"/>
        <v>21</v>
      </c>
      <c r="J264" s="10">
        <f t="shared" si="3"/>
        <v>0.02650101378</v>
      </c>
    </row>
    <row r="265" ht="14.25" customHeight="1">
      <c r="A265" s="11">
        <v>43979.0</v>
      </c>
      <c r="B265" s="12" t="s">
        <v>19</v>
      </c>
      <c r="C265" s="12">
        <v>16500.0</v>
      </c>
      <c r="D265" s="12">
        <v>1487928.0</v>
      </c>
      <c r="E265" s="8">
        <f t="array" ref="E265">INDEX('Лист2'!$C$2:$C$505, MATCH(A265&amp;B265, 'Лист2'!$A$2:$A$505&amp;'Лист2'!$B$2:$B$505, 0))</f>
        <v>17</v>
      </c>
      <c r="F265" s="8">
        <f t="array" ref="F265">INDEX('Лист2'!$D$2:$D$505, MATCH(A265&amp;B265, 'Лист2'!$A$2:$A$505&amp;'Лист2'!$B$2:$B$505, 0))</f>
        <v>1097</v>
      </c>
      <c r="G265" s="8">
        <f t="array" ref="G265">INDEX('Лист2'!$E$2:$E$505, MATCH(A265&amp;B265, 'Лист2'!$A$2:$A$505&amp;'Лист2'!$B$2:$B$505, 0))</f>
        <v>968</v>
      </c>
      <c r="H265" s="9">
        <f t="shared" si="1"/>
        <v>970.5882353</v>
      </c>
      <c r="I265" s="9">
        <f t="shared" si="2"/>
        <v>22</v>
      </c>
      <c r="J265" s="10">
        <f t="shared" si="3"/>
        <v>0.0299842864</v>
      </c>
    </row>
    <row r="266" ht="14.25" customHeight="1">
      <c r="A266" s="6">
        <v>43976.0</v>
      </c>
      <c r="B266" s="7" t="s">
        <v>20</v>
      </c>
      <c r="C266" s="7">
        <v>13260.0</v>
      </c>
      <c r="D266" s="7">
        <v>1230687.0</v>
      </c>
      <c r="E266" s="8">
        <f t="array" ref="E266">INDEX('Лист2'!$C$2:$C$505, MATCH(A266&amp;B266, 'Лист2'!$A$2:$A$505&amp;'Лист2'!$B$2:$B$505, 0))</f>
        <v>15</v>
      </c>
      <c r="F266" s="8">
        <f t="array" ref="F266">INDEX('Лист2'!$D$2:$D$505, MATCH(A266&amp;B266, 'Лист2'!$A$2:$A$505&amp;'Лист2'!$B$2:$B$505, 0))</f>
        <v>835</v>
      </c>
      <c r="G266" s="8">
        <f t="array" ref="G266">INDEX('Лист2'!$E$2:$E$505, MATCH(A266&amp;B266, 'Лист2'!$A$2:$A$505&amp;'Лист2'!$B$2:$B$505, 0))</f>
        <v>736</v>
      </c>
      <c r="H266" s="9">
        <f t="shared" si="1"/>
        <v>884</v>
      </c>
      <c r="I266" s="9">
        <f t="shared" si="2"/>
        <v>22</v>
      </c>
      <c r="J266" s="10">
        <f t="shared" si="3"/>
        <v>0.02480044161</v>
      </c>
    </row>
    <row r="267" ht="14.25" customHeight="1">
      <c r="A267" s="11">
        <v>43951.0</v>
      </c>
      <c r="B267" s="12" t="s">
        <v>20</v>
      </c>
      <c r="C267" s="12">
        <v>4285.5</v>
      </c>
      <c r="D267" s="12">
        <v>404691.0</v>
      </c>
      <c r="E267" s="8">
        <f t="array" ref="E267">INDEX('Лист2'!$C$2:$C$505, MATCH(A267&amp;B267, 'Лист2'!$A$2:$A$505&amp;'Лист2'!$B$2:$B$505, 0))</f>
        <v>15</v>
      </c>
      <c r="F267" s="8">
        <f t="array" ref="F267">INDEX('Лист2'!$D$2:$D$505, MATCH(A267&amp;B267, 'Лист2'!$A$2:$A$505&amp;'Лист2'!$B$2:$B$505, 0))</f>
        <v>262</v>
      </c>
      <c r="G267" s="8">
        <f t="array" ref="G267">INDEX('Лист2'!$E$2:$E$505, MATCH(A267&amp;B267, 'Лист2'!$A$2:$A$505&amp;'Лист2'!$B$2:$B$505, 0))</f>
        <v>195</v>
      </c>
      <c r="H267" s="9">
        <f t="shared" si="1"/>
        <v>285.7</v>
      </c>
      <c r="I267" s="9">
        <f t="shared" si="2"/>
        <v>18</v>
      </c>
      <c r="J267" s="10">
        <f t="shared" si="3"/>
        <v>0.008155213726</v>
      </c>
    </row>
    <row r="268" ht="14.25" customHeight="1">
      <c r="A268" s="6">
        <v>43961.0</v>
      </c>
      <c r="B268" s="7" t="s">
        <v>20</v>
      </c>
      <c r="C268" s="7">
        <v>13440.0</v>
      </c>
      <c r="D268" s="7">
        <v>1198285.5</v>
      </c>
      <c r="E268" s="8">
        <f t="array" ref="E268">INDEX('Лист2'!$C$2:$C$505, MATCH(A268&amp;B268, 'Лист2'!$A$2:$A$505&amp;'Лист2'!$B$2:$B$505, 0))</f>
        <v>15</v>
      </c>
      <c r="F268" s="8">
        <f t="array" ref="F268">INDEX('Лист2'!$D$2:$D$505, MATCH(A268&amp;B268, 'Лист2'!$A$2:$A$505&amp;'Лист2'!$B$2:$B$505, 0))</f>
        <v>706</v>
      </c>
      <c r="G268" s="8">
        <f t="array" ref="G268">INDEX('Лист2'!$E$2:$E$505, MATCH(A268&amp;B268, 'Лист2'!$A$2:$A$505&amp;'Лист2'!$B$2:$B$505, 0))</f>
        <v>608</v>
      </c>
      <c r="H268" s="9">
        <f t="shared" si="1"/>
        <v>896</v>
      </c>
      <c r="I268" s="9">
        <f t="shared" si="2"/>
        <v>19</v>
      </c>
      <c r="J268" s="10">
        <f t="shared" si="3"/>
        <v>0.02414749613</v>
      </c>
    </row>
    <row r="269" ht="14.25" customHeight="1">
      <c r="A269" s="11">
        <v>43959.0</v>
      </c>
      <c r="B269" s="12" t="s">
        <v>20</v>
      </c>
      <c r="C269" s="12">
        <v>9058.5</v>
      </c>
      <c r="D269" s="12">
        <v>798759.0</v>
      </c>
      <c r="E269" s="8">
        <f t="array" ref="E269">INDEX('Лист2'!$C$2:$C$505, MATCH(A269&amp;B269, 'Лист2'!$A$2:$A$505&amp;'Лист2'!$B$2:$B$505, 0))</f>
        <v>15</v>
      </c>
      <c r="F269" s="8">
        <f t="array" ref="F269">INDEX('Лист2'!$D$2:$D$505, MATCH(A269&amp;B269, 'Лист2'!$A$2:$A$505&amp;'Лист2'!$B$2:$B$505, 0))</f>
        <v>492</v>
      </c>
      <c r="G269" s="8">
        <f t="array" ref="G269">INDEX('Лист2'!$E$2:$E$505, MATCH(A269&amp;B269, 'Лист2'!$A$2:$A$505&amp;'Лист2'!$B$2:$B$505, 0))</f>
        <v>412</v>
      </c>
      <c r="H269" s="9">
        <f t="shared" si="1"/>
        <v>603.9</v>
      </c>
      <c r="I269" s="9">
        <f t="shared" si="2"/>
        <v>19</v>
      </c>
      <c r="J269" s="10">
        <f t="shared" si="3"/>
        <v>0.01609635589</v>
      </c>
    </row>
    <row r="270" ht="14.25" customHeight="1">
      <c r="A270" s="6">
        <v>43958.0</v>
      </c>
      <c r="B270" s="7" t="s">
        <v>20</v>
      </c>
      <c r="C270" s="7">
        <v>8719.5</v>
      </c>
      <c r="D270" s="7">
        <v>769276.5</v>
      </c>
      <c r="E270" s="8">
        <f t="array" ref="E270">INDEX('Лист2'!$C$2:$C$505, MATCH(A270&amp;B270, 'Лист2'!$A$2:$A$505&amp;'Лист2'!$B$2:$B$505, 0))</f>
        <v>15</v>
      </c>
      <c r="F270" s="8">
        <f t="array" ref="F270">INDEX('Лист2'!$D$2:$D$505, MATCH(A270&amp;B270, 'Лист2'!$A$2:$A$505&amp;'Лист2'!$B$2:$B$505, 0))</f>
        <v>480</v>
      </c>
      <c r="G270" s="8">
        <f t="array" ref="G270">INDEX('Лист2'!$E$2:$E$505, MATCH(A270&amp;B270, 'Лист2'!$A$2:$A$505&amp;'Лист2'!$B$2:$B$505, 0))</f>
        <v>398</v>
      </c>
      <c r="H270" s="9">
        <f t="shared" si="1"/>
        <v>581.3</v>
      </c>
      <c r="I270" s="9">
        <f t="shared" si="2"/>
        <v>19</v>
      </c>
      <c r="J270" s="10">
        <f t="shared" si="3"/>
        <v>0.01550223324</v>
      </c>
    </row>
    <row r="271" ht="14.25" customHeight="1">
      <c r="A271" s="11">
        <v>43975.0</v>
      </c>
      <c r="B271" s="12" t="s">
        <v>20</v>
      </c>
      <c r="C271" s="12">
        <v>12666.0</v>
      </c>
      <c r="D271" s="12">
        <v>1184865.0</v>
      </c>
      <c r="E271" s="8">
        <f t="array" ref="E271">INDEX('Лист2'!$C$2:$C$505, MATCH(A271&amp;B271, 'Лист2'!$A$2:$A$505&amp;'Лист2'!$B$2:$B$505, 0))</f>
        <v>15</v>
      </c>
      <c r="F271" s="8">
        <f t="array" ref="F271">INDEX('Лист2'!$D$2:$D$505, MATCH(A271&amp;B271, 'Лист2'!$A$2:$A$505&amp;'Лист2'!$B$2:$B$505, 0))</f>
        <v>779</v>
      </c>
      <c r="G271" s="8">
        <f t="array" ref="G271">INDEX('Лист2'!$E$2:$E$505, MATCH(A271&amp;B271, 'Лист2'!$A$2:$A$505&amp;'Лист2'!$B$2:$B$505, 0))</f>
        <v>673</v>
      </c>
      <c r="H271" s="9">
        <f t="shared" si="1"/>
        <v>844.4</v>
      </c>
      <c r="I271" s="9">
        <f t="shared" si="2"/>
        <v>21</v>
      </c>
      <c r="J271" s="10">
        <f t="shared" si="3"/>
        <v>0.02387705017</v>
      </c>
    </row>
    <row r="272" ht="14.25" customHeight="1">
      <c r="A272" s="6">
        <v>43967.0</v>
      </c>
      <c r="B272" s="7" t="s">
        <v>21</v>
      </c>
      <c r="C272" s="7">
        <v>34563.0</v>
      </c>
      <c r="D272" s="7">
        <v>2922883.5</v>
      </c>
      <c r="E272" s="8">
        <f t="array" ref="E272">INDEX('Лист2'!$C$2:$C$505, MATCH(A272&amp;B272, 'Лист2'!$A$2:$A$505&amp;'Лист2'!$B$2:$B$505, 0))</f>
        <v>19</v>
      </c>
      <c r="F272" s="8">
        <f t="array" ref="F272">INDEX('Лист2'!$D$2:$D$505, MATCH(A272&amp;B272, 'Лист2'!$A$2:$A$505&amp;'Лист2'!$B$2:$B$505, 0))</f>
        <v>2039</v>
      </c>
      <c r="G272" s="8">
        <f t="array" ref="G272">INDEX('Лист2'!$E$2:$E$505, MATCH(A272&amp;B272, 'Лист2'!$A$2:$A$505&amp;'Лист2'!$B$2:$B$505, 0))</f>
        <v>1868</v>
      </c>
      <c r="H272" s="9">
        <f t="shared" si="1"/>
        <v>1819.105263</v>
      </c>
      <c r="I272" s="9">
        <f t="shared" si="2"/>
        <v>20</v>
      </c>
      <c r="J272" s="10">
        <f t="shared" si="3"/>
        <v>0.0589010866</v>
      </c>
    </row>
    <row r="273" ht="14.25" customHeight="1">
      <c r="A273" s="11">
        <v>43970.0</v>
      </c>
      <c r="B273" s="12" t="s">
        <v>21</v>
      </c>
      <c r="C273" s="12">
        <v>28882.5</v>
      </c>
      <c r="D273" s="12">
        <v>2446530.0</v>
      </c>
      <c r="E273" s="8">
        <f t="array" ref="E273">INDEX('Лист2'!$C$2:$C$505, MATCH(A273&amp;B273, 'Лист2'!$A$2:$A$505&amp;'Лист2'!$B$2:$B$505, 0))</f>
        <v>19</v>
      </c>
      <c r="F273" s="8">
        <f t="array" ref="F273">INDEX('Лист2'!$D$2:$D$505, MATCH(A273&amp;B273, 'Лист2'!$A$2:$A$505&amp;'Лист2'!$B$2:$B$505, 0))</f>
        <v>1831</v>
      </c>
      <c r="G273" s="8">
        <f t="array" ref="G273">INDEX('Лист2'!$E$2:$E$505, MATCH(A273&amp;B273, 'Лист2'!$A$2:$A$505&amp;'Лист2'!$B$2:$B$505, 0))</f>
        <v>1667</v>
      </c>
      <c r="H273" s="9">
        <f t="shared" si="1"/>
        <v>1520.131579</v>
      </c>
      <c r="I273" s="9">
        <f t="shared" si="2"/>
        <v>21</v>
      </c>
      <c r="J273" s="10">
        <f t="shared" si="3"/>
        <v>0.0493017513</v>
      </c>
    </row>
    <row r="274" ht="14.25" customHeight="1">
      <c r="A274" s="6">
        <v>43968.0</v>
      </c>
      <c r="B274" s="7" t="s">
        <v>21</v>
      </c>
      <c r="C274" s="7">
        <v>28275.0</v>
      </c>
      <c r="D274" s="7">
        <v>2435632.5</v>
      </c>
      <c r="E274" s="8">
        <f t="array" ref="E274">INDEX('Лист2'!$C$2:$C$505, MATCH(A274&amp;B274, 'Лист2'!$A$2:$A$505&amp;'Лист2'!$B$2:$B$505, 0))</f>
        <v>19</v>
      </c>
      <c r="F274" s="8">
        <f t="array" ref="F274">INDEX('Лист2'!$D$2:$D$505, MATCH(A274&amp;B274, 'Лист2'!$A$2:$A$505&amp;'Лист2'!$B$2:$B$505, 0))</f>
        <v>1790</v>
      </c>
      <c r="G274" s="8">
        <f t="array" ref="G274">INDEX('Лист2'!$E$2:$E$505, MATCH(A274&amp;B274, 'Лист2'!$A$2:$A$505&amp;'Лист2'!$B$2:$B$505, 0))</f>
        <v>1633</v>
      </c>
      <c r="H274" s="9">
        <f t="shared" si="1"/>
        <v>1488.157895</v>
      </c>
      <c r="I274" s="9">
        <f t="shared" si="2"/>
        <v>20</v>
      </c>
      <c r="J274" s="10">
        <f t="shared" si="3"/>
        <v>0.0490821481</v>
      </c>
    </row>
    <row r="275" ht="14.25" customHeight="1">
      <c r="A275" s="11">
        <v>43960.0</v>
      </c>
      <c r="B275" s="12" t="s">
        <v>21</v>
      </c>
      <c r="C275" s="12">
        <v>26271.0</v>
      </c>
      <c r="D275" s="12">
        <v>2384937.0</v>
      </c>
      <c r="E275" s="8">
        <f t="array" ref="E275">INDEX('Лист2'!$C$2:$C$505, MATCH(A275&amp;B275, 'Лист2'!$A$2:$A$505&amp;'Лист2'!$B$2:$B$505, 0))</f>
        <v>19</v>
      </c>
      <c r="F275" s="8">
        <f t="array" ref="F275">INDEX('Лист2'!$D$2:$D$505, MATCH(A275&amp;B275, 'Лист2'!$A$2:$A$505&amp;'Лист2'!$B$2:$B$505, 0))</f>
        <v>1542</v>
      </c>
      <c r="G275" s="8">
        <f t="array" ref="G275">INDEX('Лист2'!$E$2:$E$505, MATCH(A275&amp;B275, 'Лист2'!$A$2:$A$505&amp;'Лист2'!$B$2:$B$505, 0))</f>
        <v>1412</v>
      </c>
      <c r="H275" s="9">
        <f t="shared" si="1"/>
        <v>1382.684211</v>
      </c>
      <c r="I275" s="9">
        <f t="shared" si="2"/>
        <v>19</v>
      </c>
      <c r="J275" s="10">
        <f t="shared" si="3"/>
        <v>0.04806054733</v>
      </c>
    </row>
    <row r="276" ht="14.25" customHeight="1">
      <c r="A276" s="6">
        <v>43955.0</v>
      </c>
      <c r="B276" s="7" t="s">
        <v>21</v>
      </c>
      <c r="C276" s="7">
        <v>23587.5</v>
      </c>
      <c r="D276" s="7">
        <v>2155668.0</v>
      </c>
      <c r="E276" s="8">
        <f t="array" ref="E276">INDEX('Лист2'!$C$2:$C$505, MATCH(A276&amp;B276, 'Лист2'!$A$2:$A$505&amp;'Лист2'!$B$2:$B$505, 0))</f>
        <v>19</v>
      </c>
      <c r="F276" s="8">
        <f t="array" ref="F276">INDEX('Лист2'!$D$2:$D$505, MATCH(A276&amp;B276, 'Лист2'!$A$2:$A$505&amp;'Лист2'!$B$2:$B$505, 0))</f>
        <v>1479</v>
      </c>
      <c r="G276" s="8">
        <f t="array" ref="G276">INDEX('Лист2'!$E$2:$E$505, MATCH(A276&amp;B276, 'Лист2'!$A$2:$A$505&amp;'Лист2'!$B$2:$B$505, 0))</f>
        <v>1346</v>
      </c>
      <c r="H276" s="9">
        <f t="shared" si="1"/>
        <v>1241.447368</v>
      </c>
      <c r="I276" s="9">
        <f t="shared" si="2"/>
        <v>19</v>
      </c>
      <c r="J276" s="10">
        <f t="shared" si="3"/>
        <v>0.04344038603</v>
      </c>
    </row>
    <row r="277" ht="14.25" customHeight="1">
      <c r="A277" s="11">
        <v>43953.0</v>
      </c>
      <c r="B277" s="12" t="s">
        <v>21</v>
      </c>
      <c r="C277" s="12">
        <v>18427.5</v>
      </c>
      <c r="D277" s="12">
        <v>1682851.5</v>
      </c>
      <c r="E277" s="8">
        <f t="array" ref="E277">INDEX('Лист2'!$C$2:$C$505, MATCH(A277&amp;B277, 'Лист2'!$A$2:$A$505&amp;'Лист2'!$B$2:$B$505, 0))</f>
        <v>19</v>
      </c>
      <c r="F277" s="8">
        <f t="array" ref="F277">INDEX('Лист2'!$D$2:$D$505, MATCH(A277&amp;B277, 'Лист2'!$A$2:$A$505&amp;'Лист2'!$B$2:$B$505, 0))</f>
        <v>1206</v>
      </c>
      <c r="G277" s="8">
        <f t="array" ref="G277">INDEX('Лист2'!$E$2:$E$505, MATCH(A277&amp;B277, 'Лист2'!$A$2:$A$505&amp;'Лист2'!$B$2:$B$505, 0))</f>
        <v>1080</v>
      </c>
      <c r="H277" s="9">
        <f t="shared" si="1"/>
        <v>969.8684211</v>
      </c>
      <c r="I277" s="9">
        <f t="shared" si="2"/>
        <v>18</v>
      </c>
      <c r="J277" s="10">
        <f t="shared" si="3"/>
        <v>0.03391232731</v>
      </c>
    </row>
    <row r="278" ht="14.25" customHeight="1">
      <c r="A278" s="6">
        <v>43977.0</v>
      </c>
      <c r="B278" s="7" t="s">
        <v>21</v>
      </c>
      <c r="C278" s="7">
        <v>27156.0</v>
      </c>
      <c r="D278" s="7">
        <v>2410803.0</v>
      </c>
      <c r="E278" s="8">
        <f t="array" ref="E278">INDEX('Лист2'!$C$2:$C$505, MATCH(A278&amp;B278, 'Лист2'!$A$2:$A$505&amp;'Лист2'!$B$2:$B$505, 0))</f>
        <v>20</v>
      </c>
      <c r="F278" s="8">
        <f t="array" ref="F278">INDEX('Лист2'!$D$2:$D$505, MATCH(A278&amp;B278, 'Лист2'!$A$2:$A$505&amp;'Лист2'!$B$2:$B$505, 0))</f>
        <v>1814</v>
      </c>
      <c r="G278" s="8">
        <f t="array" ref="G278">INDEX('Лист2'!$E$2:$E$505, MATCH(A278&amp;B278, 'Лист2'!$A$2:$A$505&amp;'Лист2'!$B$2:$B$505, 0))</f>
        <v>1655</v>
      </c>
      <c r="H278" s="9">
        <f t="shared" si="1"/>
        <v>1357.8</v>
      </c>
      <c r="I278" s="9">
        <f t="shared" si="2"/>
        <v>22</v>
      </c>
      <c r="J278" s="10">
        <f t="shared" si="3"/>
        <v>0.04858179133</v>
      </c>
    </row>
    <row r="279" ht="14.25" customHeight="1">
      <c r="A279" s="11">
        <v>43952.0</v>
      </c>
      <c r="B279" s="12" t="s">
        <v>21</v>
      </c>
      <c r="C279" s="12">
        <v>35190.0</v>
      </c>
      <c r="D279" s="12">
        <v>3168510.0</v>
      </c>
      <c r="E279" s="8">
        <f t="array" ref="E279">INDEX('Лист2'!$C$2:$C$505, MATCH(A279&amp;B279, 'Лист2'!$A$2:$A$505&amp;'Лист2'!$B$2:$B$505, 0))</f>
        <v>19</v>
      </c>
      <c r="F279" s="8">
        <f t="array" ref="F279">INDEX('Лист2'!$D$2:$D$505, MATCH(A279&amp;B279, 'Лист2'!$A$2:$A$505&amp;'Лист2'!$B$2:$B$505, 0))</f>
        <v>1987</v>
      </c>
      <c r="G279" s="8">
        <f t="array" ref="G279">INDEX('Лист2'!$E$2:$E$505, MATCH(A279&amp;B279, 'Лист2'!$A$2:$A$505&amp;'Лист2'!$B$2:$B$505, 0))</f>
        <v>1791</v>
      </c>
      <c r="H279" s="9">
        <f t="shared" si="1"/>
        <v>1852.105263</v>
      </c>
      <c r="I279" s="9">
        <f t="shared" si="2"/>
        <v>18</v>
      </c>
      <c r="J279" s="10">
        <f t="shared" si="3"/>
        <v>0.06385087942</v>
      </c>
    </row>
    <row r="280" ht="14.25" customHeight="1">
      <c r="A280" s="6">
        <v>43963.0</v>
      </c>
      <c r="B280" s="7" t="s">
        <v>21</v>
      </c>
      <c r="C280" s="7">
        <v>25483.5</v>
      </c>
      <c r="D280" s="7">
        <v>2243160.0</v>
      </c>
      <c r="E280" s="8">
        <f t="array" ref="E280">INDEX('Лист2'!$C$2:$C$505, MATCH(A280&amp;B280, 'Лист2'!$A$2:$A$505&amp;'Лист2'!$B$2:$B$505, 0))</f>
        <v>19</v>
      </c>
      <c r="F280" s="8">
        <f t="array" ref="F280">INDEX('Лист2'!$D$2:$D$505, MATCH(A280&amp;B280, 'Лист2'!$A$2:$A$505&amp;'Лист2'!$B$2:$B$505, 0))</f>
        <v>1598</v>
      </c>
      <c r="G280" s="8">
        <f t="array" ref="G280">INDEX('Лист2'!$E$2:$E$505, MATCH(A280&amp;B280, 'Лист2'!$A$2:$A$505&amp;'Лист2'!$B$2:$B$505, 0))</f>
        <v>1454</v>
      </c>
      <c r="H280" s="9">
        <f t="shared" si="1"/>
        <v>1341.236842</v>
      </c>
      <c r="I280" s="9">
        <f t="shared" si="2"/>
        <v>20</v>
      </c>
      <c r="J280" s="10">
        <f t="shared" si="3"/>
        <v>0.04520349902</v>
      </c>
    </row>
    <row r="281" ht="14.25" customHeight="1">
      <c r="A281" s="11">
        <v>43972.0</v>
      </c>
      <c r="B281" s="12" t="s">
        <v>21</v>
      </c>
      <c r="C281" s="12">
        <v>25362.0</v>
      </c>
      <c r="D281" s="12">
        <v>2198935.5</v>
      </c>
      <c r="E281" s="8">
        <f t="array" ref="E281">INDEX('Лист2'!$C$2:$C$505, MATCH(A281&amp;B281, 'Лист2'!$A$2:$A$505&amp;'Лист2'!$B$2:$B$505, 0))</f>
        <v>19</v>
      </c>
      <c r="F281" s="8">
        <f t="array" ref="F281">INDEX('Лист2'!$D$2:$D$505, MATCH(A281&amp;B281, 'Лист2'!$A$2:$A$505&amp;'Лист2'!$B$2:$B$505, 0))</f>
        <v>1650</v>
      </c>
      <c r="G281" s="8">
        <f t="array" ref="G281">INDEX('Лист2'!$E$2:$E$505, MATCH(A281&amp;B281, 'Лист2'!$A$2:$A$505&amp;'Лист2'!$B$2:$B$505, 0))</f>
        <v>1505</v>
      </c>
      <c r="H281" s="9">
        <f t="shared" si="1"/>
        <v>1334.842105</v>
      </c>
      <c r="I281" s="9">
        <f t="shared" si="2"/>
        <v>21</v>
      </c>
      <c r="J281" s="10">
        <f t="shared" si="3"/>
        <v>0.04431229993</v>
      </c>
    </row>
    <row r="282" ht="14.25" customHeight="1">
      <c r="A282" s="6">
        <v>43971.0</v>
      </c>
      <c r="B282" s="7" t="s">
        <v>21</v>
      </c>
      <c r="C282" s="7">
        <v>28849.5</v>
      </c>
      <c r="D282" s="7">
        <v>2520759.0</v>
      </c>
      <c r="E282" s="8">
        <f t="array" ref="E282">INDEX('Лист2'!$C$2:$C$505, MATCH(A282&amp;B282, 'Лист2'!$A$2:$A$505&amp;'Лист2'!$B$2:$B$505, 0))</f>
        <v>19</v>
      </c>
      <c r="F282" s="8">
        <f t="array" ref="F282">INDEX('Лист2'!$D$2:$D$505, MATCH(A282&amp;B282, 'Лист2'!$A$2:$A$505&amp;'Лист2'!$B$2:$B$505, 0))</f>
        <v>1823</v>
      </c>
      <c r="G282" s="8">
        <f t="array" ref="G282">INDEX('Лист2'!$E$2:$E$505, MATCH(A282&amp;B282, 'Лист2'!$A$2:$A$505&amp;'Лист2'!$B$2:$B$505, 0))</f>
        <v>1678</v>
      </c>
      <c r="H282" s="9">
        <f t="shared" si="1"/>
        <v>1518.394737</v>
      </c>
      <c r="I282" s="9">
        <f t="shared" si="2"/>
        <v>21</v>
      </c>
      <c r="J282" s="10">
        <f t="shared" si="3"/>
        <v>0.05079759223</v>
      </c>
    </row>
    <row r="283" ht="14.25" customHeight="1">
      <c r="A283" s="11">
        <v>43956.0</v>
      </c>
      <c r="B283" s="12" t="s">
        <v>21</v>
      </c>
      <c r="C283" s="12">
        <v>26367.0</v>
      </c>
      <c r="D283" s="12">
        <v>2380333.5</v>
      </c>
      <c r="E283" s="8">
        <f t="array" ref="E283">INDEX('Лист2'!$C$2:$C$505, MATCH(A283&amp;B283, 'Лист2'!$A$2:$A$505&amp;'Лист2'!$B$2:$B$505, 0))</f>
        <v>19</v>
      </c>
      <c r="F283" s="8">
        <f t="array" ref="F283">INDEX('Лист2'!$D$2:$D$505, MATCH(A283&amp;B283, 'Лист2'!$A$2:$A$505&amp;'Лист2'!$B$2:$B$505, 0))</f>
        <v>1622</v>
      </c>
      <c r="G283" s="8">
        <f t="array" ref="G283">INDEX('Лист2'!$E$2:$E$505, MATCH(A283&amp;B283, 'Лист2'!$A$2:$A$505&amp;'Лист2'!$B$2:$B$505, 0))</f>
        <v>1482</v>
      </c>
      <c r="H283" s="9">
        <f t="shared" si="1"/>
        <v>1387.736842</v>
      </c>
      <c r="I283" s="9">
        <f t="shared" si="2"/>
        <v>19</v>
      </c>
      <c r="J283" s="10">
        <f t="shared" si="3"/>
        <v>0.04796777895</v>
      </c>
    </row>
    <row r="284" ht="14.25" customHeight="1">
      <c r="A284" s="6">
        <v>43964.0</v>
      </c>
      <c r="B284" s="7" t="s">
        <v>21</v>
      </c>
      <c r="C284" s="7">
        <v>25539.0</v>
      </c>
      <c r="D284" s="7">
        <v>2263651.5</v>
      </c>
      <c r="E284" s="8">
        <f t="array" ref="E284">INDEX('Лист2'!$C$2:$C$505, MATCH(A284&amp;B284, 'Лист2'!$A$2:$A$505&amp;'Лист2'!$B$2:$B$505, 0))</f>
        <v>19</v>
      </c>
      <c r="F284" s="8">
        <f t="array" ref="F284">INDEX('Лист2'!$D$2:$D$505, MATCH(A284&amp;B284, 'Лист2'!$A$2:$A$505&amp;'Лист2'!$B$2:$B$505, 0))</f>
        <v>1605</v>
      </c>
      <c r="G284" s="8">
        <f t="array" ref="G284">INDEX('Лист2'!$E$2:$E$505, MATCH(A284&amp;B284, 'Лист2'!$A$2:$A$505&amp;'Лист2'!$B$2:$B$505, 0))</f>
        <v>1447</v>
      </c>
      <c r="H284" s="9">
        <f t="shared" si="1"/>
        <v>1344.157895</v>
      </c>
      <c r="I284" s="9">
        <f t="shared" si="2"/>
        <v>20</v>
      </c>
      <c r="J284" s="10">
        <f t="shared" si="3"/>
        <v>0.04561643769</v>
      </c>
    </row>
    <row r="285" ht="14.25" customHeight="1">
      <c r="A285" s="11">
        <v>43982.0</v>
      </c>
      <c r="B285" s="12" t="s">
        <v>20</v>
      </c>
      <c r="C285" s="12">
        <v>14808.0</v>
      </c>
      <c r="D285" s="12">
        <v>1336789.5</v>
      </c>
      <c r="E285" s="8">
        <f t="array" ref="E285">INDEX('Лист2'!$C$2:$C$505, MATCH(A285&amp;B285, 'Лист2'!$A$2:$A$505&amp;'Лист2'!$B$2:$B$505, 0))</f>
        <v>16</v>
      </c>
      <c r="F285" s="8">
        <f t="array" ref="F285">INDEX('Лист2'!$D$2:$D$505, MATCH(A285&amp;B285, 'Лист2'!$A$2:$A$505&amp;'Лист2'!$B$2:$B$505, 0))</f>
        <v>917</v>
      </c>
      <c r="G285" s="8">
        <f t="array" ref="G285">INDEX('Лист2'!$E$2:$E$505, MATCH(A285&amp;B285, 'Лист2'!$A$2:$A$505&amp;'Лист2'!$B$2:$B$505, 0))</f>
        <v>802</v>
      </c>
      <c r="H285" s="9">
        <f t="shared" si="1"/>
        <v>925.5</v>
      </c>
      <c r="I285" s="9">
        <f t="shared" si="2"/>
        <v>22</v>
      </c>
      <c r="J285" s="10">
        <f t="shared" si="3"/>
        <v>0.02693858791</v>
      </c>
    </row>
    <row r="286" ht="14.25" customHeight="1">
      <c r="A286" s="6">
        <v>43954.0</v>
      </c>
      <c r="B286" s="7" t="s">
        <v>21</v>
      </c>
      <c r="C286" s="7">
        <v>21343.5</v>
      </c>
      <c r="D286" s="7">
        <v>1906557.0</v>
      </c>
      <c r="E286" s="8">
        <f t="array" ref="E286">INDEX('Лист2'!$C$2:$C$505, MATCH(A286&amp;B286, 'Лист2'!$A$2:$A$505&amp;'Лист2'!$B$2:$B$505, 0))</f>
        <v>19</v>
      </c>
      <c r="F286" s="8">
        <f t="array" ref="F286">INDEX('Лист2'!$D$2:$D$505, MATCH(A286&amp;B286, 'Лист2'!$A$2:$A$505&amp;'Лист2'!$B$2:$B$505, 0))</f>
        <v>1314</v>
      </c>
      <c r="G286" s="8">
        <f t="array" ref="G286">INDEX('Лист2'!$E$2:$E$505, MATCH(A286&amp;B286, 'Лист2'!$A$2:$A$505&amp;'Лист2'!$B$2:$B$505, 0))</f>
        <v>1192</v>
      </c>
      <c r="H286" s="9">
        <f t="shared" si="1"/>
        <v>1123.342105</v>
      </c>
      <c r="I286" s="9">
        <f t="shared" si="2"/>
        <v>18</v>
      </c>
      <c r="J286" s="10">
        <f t="shared" si="3"/>
        <v>0.0384203746</v>
      </c>
    </row>
    <row r="287" ht="14.25" customHeight="1">
      <c r="A287" s="11">
        <v>43981.0</v>
      </c>
      <c r="B287" s="12" t="s">
        <v>20</v>
      </c>
      <c r="C287" s="12">
        <v>17946.0</v>
      </c>
      <c r="D287" s="12">
        <v>1609090.5</v>
      </c>
      <c r="E287" s="8">
        <f t="array" ref="E287">INDEX('Лист2'!$C$2:$C$505, MATCH(A287&amp;B287, 'Лист2'!$A$2:$A$505&amp;'Лист2'!$B$2:$B$505, 0))</f>
        <v>16</v>
      </c>
      <c r="F287" s="8">
        <f t="array" ref="F287">INDEX('Лист2'!$D$2:$D$505, MATCH(A287&amp;B287, 'Лист2'!$A$2:$A$505&amp;'Лист2'!$B$2:$B$505, 0))</f>
        <v>1048</v>
      </c>
      <c r="G287" s="8">
        <f t="array" ref="G287">INDEX('Лист2'!$E$2:$E$505, MATCH(A287&amp;B287, 'Лист2'!$A$2:$A$505&amp;'Лист2'!$B$2:$B$505, 0))</f>
        <v>918</v>
      </c>
      <c r="H287" s="9">
        <f t="shared" si="1"/>
        <v>1121.625</v>
      </c>
      <c r="I287" s="9">
        <f t="shared" si="2"/>
        <v>22</v>
      </c>
      <c r="J287" s="10">
        <f t="shared" si="3"/>
        <v>0.03242591738</v>
      </c>
    </row>
    <row r="288" ht="14.25" customHeight="1">
      <c r="A288" s="6">
        <v>43957.0</v>
      </c>
      <c r="B288" s="7" t="s">
        <v>21</v>
      </c>
      <c r="C288" s="7">
        <v>24337.5</v>
      </c>
      <c r="D288" s="7">
        <v>2159350.5</v>
      </c>
      <c r="E288" s="8">
        <f t="array" ref="E288">INDEX('Лист2'!$C$2:$C$505, MATCH(A288&amp;B288, 'Лист2'!$A$2:$A$505&amp;'Лист2'!$B$2:$B$505, 0))</f>
        <v>19</v>
      </c>
      <c r="F288" s="8">
        <f t="array" ref="F288">INDEX('Лист2'!$D$2:$D$505, MATCH(A288&amp;B288, 'Лист2'!$A$2:$A$505&amp;'Лист2'!$B$2:$B$505, 0))</f>
        <v>1509</v>
      </c>
      <c r="G288" s="8">
        <f t="array" ref="G288">INDEX('Лист2'!$E$2:$E$505, MATCH(A288&amp;B288, 'Лист2'!$A$2:$A$505&amp;'Лист2'!$B$2:$B$505, 0))</f>
        <v>1374</v>
      </c>
      <c r="H288" s="9">
        <f t="shared" si="1"/>
        <v>1280.921053</v>
      </c>
      <c r="I288" s="9">
        <f t="shared" si="2"/>
        <v>19</v>
      </c>
      <c r="J288" s="10">
        <f t="shared" si="3"/>
        <v>0.04351459468</v>
      </c>
    </row>
    <row r="289" ht="14.25" customHeight="1">
      <c r="A289" s="11">
        <v>43974.0</v>
      </c>
      <c r="B289" s="12" t="s">
        <v>21</v>
      </c>
      <c r="C289" s="12">
        <v>36997.5</v>
      </c>
      <c r="D289" s="12">
        <v>3089140.5</v>
      </c>
      <c r="E289" s="8">
        <f t="array" ref="E289">INDEX('Лист2'!$C$2:$C$505, MATCH(A289&amp;B289, 'Лист2'!$A$2:$A$505&amp;'Лист2'!$B$2:$B$505, 0))</f>
        <v>19</v>
      </c>
      <c r="F289" s="8">
        <f t="array" ref="F289">INDEX('Лист2'!$D$2:$D$505, MATCH(A289&amp;B289, 'Лист2'!$A$2:$A$505&amp;'Лист2'!$B$2:$B$505, 0))</f>
        <v>2195</v>
      </c>
      <c r="G289" s="8">
        <f t="array" ref="G289">INDEX('Лист2'!$E$2:$E$505, MATCH(A289&amp;B289, 'Лист2'!$A$2:$A$505&amp;'Лист2'!$B$2:$B$505, 0))</f>
        <v>1999</v>
      </c>
      <c r="H289" s="9">
        <f t="shared" si="1"/>
        <v>1947.236842</v>
      </c>
      <c r="I289" s="9">
        <f t="shared" si="2"/>
        <v>21</v>
      </c>
      <c r="J289" s="10">
        <f t="shared" si="3"/>
        <v>0.06225144865</v>
      </c>
    </row>
    <row r="290" ht="14.25" customHeight="1">
      <c r="A290" s="6">
        <v>43979.0</v>
      </c>
      <c r="B290" s="7" t="s">
        <v>20</v>
      </c>
      <c r="C290" s="7">
        <v>13864.5</v>
      </c>
      <c r="D290" s="7">
        <v>1239747.0</v>
      </c>
      <c r="E290" s="8">
        <f t="array" ref="E290">INDEX('Лист2'!$C$2:$C$505, MATCH(A290&amp;B290, 'Лист2'!$A$2:$A$505&amp;'Лист2'!$B$2:$B$505, 0))</f>
        <v>16</v>
      </c>
      <c r="F290" s="8">
        <f t="array" ref="F290">INDEX('Лист2'!$D$2:$D$505, MATCH(A290&amp;B290, 'Лист2'!$A$2:$A$505&amp;'Лист2'!$B$2:$B$505, 0))</f>
        <v>876</v>
      </c>
      <c r="G290" s="8">
        <f t="array" ref="G290">INDEX('Лист2'!$E$2:$E$505, MATCH(A290&amp;B290, 'Лист2'!$A$2:$A$505&amp;'Лист2'!$B$2:$B$505, 0))</f>
        <v>762</v>
      </c>
      <c r="H290" s="9">
        <f t="shared" si="1"/>
        <v>866.53125</v>
      </c>
      <c r="I290" s="9">
        <f t="shared" si="2"/>
        <v>22</v>
      </c>
      <c r="J290" s="10">
        <f t="shared" si="3"/>
        <v>0.02498301606</v>
      </c>
    </row>
    <row r="291" ht="14.25" customHeight="1">
      <c r="A291" s="11">
        <v>43976.0</v>
      </c>
      <c r="B291" s="12" t="s">
        <v>21</v>
      </c>
      <c r="C291" s="12">
        <v>28494.0</v>
      </c>
      <c r="D291" s="12">
        <v>2512803.0</v>
      </c>
      <c r="E291" s="8">
        <f t="array" ref="E291">INDEX('Лист2'!$C$2:$C$505, MATCH(A291&amp;B291, 'Лист2'!$A$2:$A$505&amp;'Лист2'!$B$2:$B$505, 0))</f>
        <v>20</v>
      </c>
      <c r="F291" s="8">
        <f t="array" ref="F291">INDEX('Лист2'!$D$2:$D$505, MATCH(A291&amp;B291, 'Лист2'!$A$2:$A$505&amp;'Лист2'!$B$2:$B$505, 0))</f>
        <v>1899</v>
      </c>
      <c r="G291" s="8">
        <f t="array" ref="G291">INDEX('Лист2'!$E$2:$E$505, MATCH(A291&amp;B291, 'Лист2'!$A$2:$A$505&amp;'Лист2'!$B$2:$B$505, 0))</f>
        <v>1738</v>
      </c>
      <c r="H291" s="9">
        <f t="shared" si="1"/>
        <v>1424.7</v>
      </c>
      <c r="I291" s="9">
        <f t="shared" si="2"/>
        <v>22</v>
      </c>
      <c r="J291" s="10">
        <f t="shared" si="3"/>
        <v>0.05063726526</v>
      </c>
    </row>
    <row r="292" ht="14.25" customHeight="1">
      <c r="A292" s="6">
        <v>43951.0</v>
      </c>
      <c r="B292" s="7" t="s">
        <v>21</v>
      </c>
      <c r="C292" s="7">
        <v>27883.5</v>
      </c>
      <c r="D292" s="7">
        <v>2560080.0</v>
      </c>
      <c r="E292" s="8">
        <f t="array" ref="E292">INDEX('Лист2'!$C$2:$C$505, MATCH(A292&amp;B292, 'Лист2'!$A$2:$A$505&amp;'Лист2'!$B$2:$B$505, 0))</f>
        <v>19</v>
      </c>
      <c r="F292" s="8">
        <f t="array" ref="F292">INDEX('Лист2'!$D$2:$D$505, MATCH(A292&amp;B292, 'Лист2'!$A$2:$A$505&amp;'Лист2'!$B$2:$B$505, 0))</f>
        <v>1662</v>
      </c>
      <c r="G292" s="8">
        <f t="array" ref="G292">INDEX('Лист2'!$E$2:$E$505, MATCH(A292&amp;B292, 'Лист2'!$A$2:$A$505&amp;'Лист2'!$B$2:$B$505, 0))</f>
        <v>1506</v>
      </c>
      <c r="H292" s="9">
        <f t="shared" si="1"/>
        <v>1467.552632</v>
      </c>
      <c r="I292" s="9">
        <f t="shared" si="2"/>
        <v>18</v>
      </c>
      <c r="J292" s="10">
        <f t="shared" si="3"/>
        <v>0.05158997743</v>
      </c>
    </row>
    <row r="293" ht="14.25" customHeight="1">
      <c r="A293" s="11">
        <v>43961.0</v>
      </c>
      <c r="B293" s="12" t="s">
        <v>21</v>
      </c>
      <c r="C293" s="12">
        <v>31224.0</v>
      </c>
      <c r="D293" s="12">
        <v>2767270.5</v>
      </c>
      <c r="E293" s="8">
        <f t="array" ref="E293">INDEX('Лист2'!$C$2:$C$505, MATCH(A293&amp;B293, 'Лист2'!$A$2:$A$505&amp;'Лист2'!$B$2:$B$505, 0))</f>
        <v>19</v>
      </c>
      <c r="F293" s="8">
        <f t="array" ref="F293">INDEX('Лист2'!$D$2:$D$505, MATCH(A293&amp;B293, 'Лист2'!$A$2:$A$505&amp;'Лист2'!$B$2:$B$505, 0))</f>
        <v>1836</v>
      </c>
      <c r="G293" s="8">
        <f t="array" ref="G293">INDEX('Лист2'!$E$2:$E$505, MATCH(A293&amp;B293, 'Лист2'!$A$2:$A$505&amp;'Лист2'!$B$2:$B$505, 0))</f>
        <v>1680</v>
      </c>
      <c r="H293" s="9">
        <f t="shared" si="1"/>
        <v>1643.368421</v>
      </c>
      <c r="I293" s="9">
        <f t="shared" si="2"/>
        <v>19</v>
      </c>
      <c r="J293" s="10">
        <f t="shared" si="3"/>
        <v>0.0557652193</v>
      </c>
    </row>
    <row r="294" ht="14.25" customHeight="1">
      <c r="A294" s="6">
        <v>43959.0</v>
      </c>
      <c r="B294" s="7" t="s">
        <v>21</v>
      </c>
      <c r="C294" s="7">
        <v>25020.0</v>
      </c>
      <c r="D294" s="7">
        <v>2235960.0</v>
      </c>
      <c r="E294" s="8">
        <f t="array" ref="E294">INDEX('Лист2'!$C$2:$C$505, MATCH(A294&amp;B294, 'Лист2'!$A$2:$A$505&amp;'Лист2'!$B$2:$B$505, 0))</f>
        <v>19</v>
      </c>
      <c r="F294" s="8">
        <f t="array" ref="F294">INDEX('Лист2'!$D$2:$D$505, MATCH(A294&amp;B294, 'Лист2'!$A$2:$A$505&amp;'Лист2'!$B$2:$B$505, 0))</f>
        <v>1520</v>
      </c>
      <c r="G294" s="8">
        <f t="array" ref="G294">INDEX('Лист2'!$E$2:$E$505, MATCH(A294&amp;B294, 'Лист2'!$A$2:$A$505&amp;'Лист2'!$B$2:$B$505, 0))</f>
        <v>1380</v>
      </c>
      <c r="H294" s="9">
        <f t="shared" si="1"/>
        <v>1316.842105</v>
      </c>
      <c r="I294" s="9">
        <f t="shared" si="2"/>
        <v>19</v>
      </c>
      <c r="J294" s="10">
        <f t="shared" si="3"/>
        <v>0.04505840674</v>
      </c>
    </row>
    <row r="295" ht="14.25" customHeight="1">
      <c r="A295" s="11">
        <v>43958.0</v>
      </c>
      <c r="B295" s="12" t="s">
        <v>21</v>
      </c>
      <c r="C295" s="12">
        <v>26184.0</v>
      </c>
      <c r="D295" s="12">
        <v>2308336.5</v>
      </c>
      <c r="E295" s="8">
        <f t="array" ref="E295">INDEX('Лист2'!$C$2:$C$505, MATCH(A295&amp;B295, 'Лист2'!$A$2:$A$505&amp;'Лист2'!$B$2:$B$505, 0))</f>
        <v>19</v>
      </c>
      <c r="F295" s="8">
        <f t="array" ref="F295">INDEX('Лист2'!$D$2:$D$505, MATCH(A295&amp;B295, 'Лист2'!$A$2:$A$505&amp;'Лист2'!$B$2:$B$505, 0))</f>
        <v>1580</v>
      </c>
      <c r="G295" s="8">
        <f t="array" ref="G295">INDEX('Лист2'!$E$2:$E$505, MATCH(A295&amp;B295, 'Лист2'!$A$2:$A$505&amp;'Лист2'!$B$2:$B$505, 0))</f>
        <v>1435</v>
      </c>
      <c r="H295" s="9">
        <f t="shared" si="1"/>
        <v>1378.105263</v>
      </c>
      <c r="I295" s="9">
        <f t="shared" si="2"/>
        <v>19</v>
      </c>
      <c r="J295" s="10">
        <f t="shared" si="3"/>
        <v>0.04651691663</v>
      </c>
    </row>
    <row r="296" ht="14.25" customHeight="1">
      <c r="A296" s="6">
        <v>43975.0</v>
      </c>
      <c r="B296" s="7" t="s">
        <v>21</v>
      </c>
      <c r="C296" s="7">
        <v>29824.5</v>
      </c>
      <c r="D296" s="7">
        <v>2526909.0</v>
      </c>
      <c r="E296" s="8">
        <f t="array" ref="E296">INDEX('Лист2'!$C$2:$C$505, MATCH(A296&amp;B296, 'Лист2'!$A$2:$A$505&amp;'Лист2'!$B$2:$B$505, 0))</f>
        <v>19</v>
      </c>
      <c r="F296" s="8">
        <f t="array" ref="F296">INDEX('Лист2'!$D$2:$D$505, MATCH(A296&amp;B296, 'Лист2'!$A$2:$A$505&amp;'Лист2'!$B$2:$B$505, 0))</f>
        <v>1868</v>
      </c>
      <c r="G296" s="8">
        <f t="array" ref="G296">INDEX('Лист2'!$E$2:$E$505, MATCH(A296&amp;B296, 'Лист2'!$A$2:$A$505&amp;'Лист2'!$B$2:$B$505, 0))</f>
        <v>1706</v>
      </c>
      <c r="H296" s="9">
        <f t="shared" si="1"/>
        <v>1569.710526</v>
      </c>
      <c r="I296" s="9">
        <f t="shared" si="2"/>
        <v>21</v>
      </c>
      <c r="J296" s="10">
        <f t="shared" si="3"/>
        <v>0.05092152522</v>
      </c>
    </row>
    <row r="297" ht="14.25" customHeight="1">
      <c r="A297" s="11">
        <v>43950.0</v>
      </c>
      <c r="B297" s="12" t="s">
        <v>22</v>
      </c>
      <c r="C297" s="12">
        <v>208351.5</v>
      </c>
      <c r="D297" s="12">
        <v>2.1615333E7</v>
      </c>
      <c r="E297" s="8">
        <f t="array" ref="E297">INDEX('Лист2'!$C$2:$C$505, MATCH(A297&amp;B297, 'Лист2'!$A$2:$A$505&amp;'Лист2'!$B$2:$B$505, 0))</f>
        <v>59</v>
      </c>
      <c r="F297" s="8">
        <f t="array" ref="F297">INDEX('Лист2'!$D$2:$D$505, MATCH(A297&amp;B297, 'Лист2'!$A$2:$A$505&amp;'Лист2'!$B$2:$B$505, 0))</f>
        <v>13186</v>
      </c>
      <c r="G297" s="8">
        <f t="array" ref="G297">INDEX('Лист2'!$E$2:$E$505, MATCH(A297&amp;B297, 'Лист2'!$A$2:$A$505&amp;'Лист2'!$B$2:$B$505, 0))</f>
        <v>12251</v>
      </c>
      <c r="H297" s="9">
        <f t="shared" si="1"/>
        <v>3531.381356</v>
      </c>
      <c r="I297" s="9">
        <f t="shared" si="2"/>
        <v>18</v>
      </c>
      <c r="J297" s="10">
        <f t="shared" si="3"/>
        <v>0.4355858182</v>
      </c>
    </row>
    <row r="298" ht="14.25" customHeight="1">
      <c r="A298" s="6">
        <v>43949.0</v>
      </c>
      <c r="B298" s="7" t="s">
        <v>22</v>
      </c>
      <c r="C298" s="7">
        <v>204637.5</v>
      </c>
      <c r="D298" s="7">
        <v>2.11148985E7</v>
      </c>
      <c r="E298" s="8">
        <f t="array" ref="E298">INDEX('Лист2'!$C$2:$C$505, MATCH(A298&amp;B298, 'Лист2'!$A$2:$A$505&amp;'Лист2'!$B$2:$B$505, 0))</f>
        <v>59</v>
      </c>
      <c r="F298" s="8">
        <f t="array" ref="F298">INDEX('Лист2'!$D$2:$D$505, MATCH(A298&amp;B298, 'Лист2'!$A$2:$A$505&amp;'Лист2'!$B$2:$B$505, 0))</f>
        <v>12943</v>
      </c>
      <c r="G298" s="8">
        <f t="array" ref="G298">INDEX('Лист2'!$E$2:$E$505, MATCH(A298&amp;B298, 'Лист2'!$A$2:$A$505&amp;'Лист2'!$B$2:$B$505, 0))</f>
        <v>12072</v>
      </c>
      <c r="H298" s="9">
        <f t="shared" si="1"/>
        <v>3468.432203</v>
      </c>
      <c r="I298" s="9">
        <f t="shared" si="2"/>
        <v>18</v>
      </c>
      <c r="J298" s="10">
        <f t="shared" si="3"/>
        <v>0.4255012097</v>
      </c>
    </row>
    <row r="299" ht="14.25" customHeight="1">
      <c r="A299" s="11">
        <v>43982.0</v>
      </c>
      <c r="B299" s="12" t="s">
        <v>21</v>
      </c>
      <c r="C299" s="12">
        <v>31372.5</v>
      </c>
      <c r="D299" s="12">
        <v>2794324.5</v>
      </c>
      <c r="E299" s="8">
        <f t="array" ref="E299">INDEX('Лист2'!$C$2:$C$505, MATCH(A299&amp;B299, 'Лист2'!$A$2:$A$505&amp;'Лист2'!$B$2:$B$505, 0))</f>
        <v>21</v>
      </c>
      <c r="F299" s="8">
        <f t="array" ref="F299">INDEX('Лист2'!$D$2:$D$505, MATCH(A299&amp;B299, 'Лист2'!$A$2:$A$505&amp;'Лист2'!$B$2:$B$505, 0))</f>
        <v>2056</v>
      </c>
      <c r="G299" s="8">
        <f t="array" ref="G299">INDEX('Лист2'!$E$2:$E$505, MATCH(A299&amp;B299, 'Лист2'!$A$2:$A$505&amp;'Лист2'!$B$2:$B$505, 0))</f>
        <v>1879</v>
      </c>
      <c r="H299" s="9">
        <f t="shared" si="1"/>
        <v>1493.928571</v>
      </c>
      <c r="I299" s="9">
        <f t="shared" si="2"/>
        <v>22</v>
      </c>
      <c r="J299" s="10">
        <f t="shared" si="3"/>
        <v>0.05631040354</v>
      </c>
    </row>
    <row r="300" ht="14.25" customHeight="1">
      <c r="A300" s="6">
        <v>43981.0</v>
      </c>
      <c r="B300" s="7" t="s">
        <v>21</v>
      </c>
      <c r="C300" s="7">
        <v>34681.5</v>
      </c>
      <c r="D300" s="7">
        <v>3005334.0</v>
      </c>
      <c r="E300" s="8">
        <f t="array" ref="E300">INDEX('Лист2'!$C$2:$C$505, MATCH(A300&amp;B300, 'Лист2'!$A$2:$A$505&amp;'Лист2'!$B$2:$B$505, 0))</f>
        <v>20</v>
      </c>
      <c r="F300" s="8">
        <f t="array" ref="F300">INDEX('Лист2'!$D$2:$D$505, MATCH(A300&amp;B300, 'Лист2'!$A$2:$A$505&amp;'Лист2'!$B$2:$B$505, 0))</f>
        <v>2174</v>
      </c>
      <c r="G300" s="8">
        <f t="array" ref="G300">INDEX('Лист2'!$E$2:$E$505, MATCH(A300&amp;B300, 'Лист2'!$A$2:$A$505&amp;'Лист2'!$B$2:$B$505, 0))</f>
        <v>1957</v>
      </c>
      <c r="H300" s="9">
        <f t="shared" si="1"/>
        <v>1734.075</v>
      </c>
      <c r="I300" s="9">
        <f t="shared" si="2"/>
        <v>22</v>
      </c>
      <c r="J300" s="10">
        <f t="shared" si="3"/>
        <v>0.06056260477</v>
      </c>
    </row>
    <row r="301" ht="14.25" customHeight="1">
      <c r="A301" s="11">
        <v>43979.0</v>
      </c>
      <c r="B301" s="12" t="s">
        <v>21</v>
      </c>
      <c r="C301" s="12">
        <v>28197.0</v>
      </c>
      <c r="D301" s="12">
        <v>2559211.5</v>
      </c>
      <c r="E301" s="8">
        <f t="array" ref="E301">INDEX('Лист2'!$C$2:$C$505, MATCH(A301&amp;B301, 'Лист2'!$A$2:$A$505&amp;'Лист2'!$B$2:$B$505, 0))</f>
        <v>20</v>
      </c>
      <c r="F301" s="8">
        <f t="array" ref="F301">INDEX('Лист2'!$D$2:$D$505, MATCH(A301&amp;B301, 'Лист2'!$A$2:$A$505&amp;'Лист2'!$B$2:$B$505, 0))</f>
        <v>1875</v>
      </c>
      <c r="G301" s="8">
        <f t="array" ref="G301">INDEX('Лист2'!$E$2:$E$505, MATCH(A301&amp;B301, 'Лист2'!$A$2:$A$505&amp;'Лист2'!$B$2:$B$505, 0))</f>
        <v>1701</v>
      </c>
      <c r="H301" s="9">
        <f t="shared" si="1"/>
        <v>1409.85</v>
      </c>
      <c r="I301" s="9">
        <f t="shared" si="2"/>
        <v>22</v>
      </c>
      <c r="J301" s="10">
        <f t="shared" si="3"/>
        <v>0.05157247567</v>
      </c>
    </row>
    <row r="302" ht="14.25" customHeight="1">
      <c r="A302" s="6">
        <v>43967.0</v>
      </c>
      <c r="B302" s="7" t="s">
        <v>22</v>
      </c>
      <c r="C302" s="7">
        <v>236551.5</v>
      </c>
      <c r="D302" s="7">
        <v>2.3689383E7</v>
      </c>
      <c r="E302" s="8">
        <f t="array" ref="E302">INDEX('Лист2'!$C$2:$C$505, MATCH(A302&amp;B302, 'Лист2'!$A$2:$A$505&amp;'Лист2'!$B$2:$B$505, 0))</f>
        <v>60</v>
      </c>
      <c r="F302" s="8">
        <f t="array" ref="F302">INDEX('Лист2'!$D$2:$D$505, MATCH(A302&amp;B302, 'Лист2'!$A$2:$A$505&amp;'Лист2'!$B$2:$B$505, 0))</f>
        <v>14049</v>
      </c>
      <c r="G302" s="8">
        <f t="array" ref="G302">INDEX('Лист2'!$E$2:$E$505, MATCH(A302&amp;B302, 'Лист2'!$A$2:$A$505&amp;'Лист2'!$B$2:$B$505, 0))</f>
        <v>13118</v>
      </c>
      <c r="H302" s="9">
        <f t="shared" si="1"/>
        <v>3942.525</v>
      </c>
      <c r="I302" s="9">
        <f t="shared" si="2"/>
        <v>20</v>
      </c>
      <c r="J302" s="10">
        <f t="shared" si="3"/>
        <v>0.4773814624</v>
      </c>
    </row>
    <row r="303" ht="14.25" customHeight="1">
      <c r="A303" s="11">
        <v>43970.0</v>
      </c>
      <c r="B303" s="12" t="s">
        <v>22</v>
      </c>
      <c r="C303" s="12">
        <v>223597.5</v>
      </c>
      <c r="D303" s="12">
        <v>2.1945858E7</v>
      </c>
      <c r="E303" s="8">
        <f t="array" ref="E303">INDEX('Лист2'!$C$2:$C$505, MATCH(A303&amp;B303, 'Лист2'!$A$2:$A$505&amp;'Лист2'!$B$2:$B$505, 0))</f>
        <v>60</v>
      </c>
      <c r="F303" s="8">
        <f t="array" ref="F303">INDEX('Лист2'!$D$2:$D$505, MATCH(A303&amp;B303, 'Лист2'!$A$2:$A$505&amp;'Лист2'!$B$2:$B$505, 0))</f>
        <v>13867</v>
      </c>
      <c r="G303" s="8">
        <f t="array" ref="G303">INDEX('Лист2'!$E$2:$E$505, MATCH(A303&amp;B303, 'Лист2'!$A$2:$A$505&amp;'Лист2'!$B$2:$B$505, 0))</f>
        <v>12987</v>
      </c>
      <c r="H303" s="9">
        <f t="shared" si="1"/>
        <v>3726.625</v>
      </c>
      <c r="I303" s="9">
        <f t="shared" si="2"/>
        <v>21</v>
      </c>
      <c r="J303" s="10">
        <f t="shared" si="3"/>
        <v>0.4422464606</v>
      </c>
    </row>
    <row r="304" ht="14.25" customHeight="1">
      <c r="A304" s="6">
        <v>43968.0</v>
      </c>
      <c r="B304" s="7" t="s">
        <v>22</v>
      </c>
      <c r="C304" s="7">
        <v>193363.5</v>
      </c>
      <c r="D304" s="7">
        <v>1.9546386E7</v>
      </c>
      <c r="E304" s="8">
        <f t="array" ref="E304">INDEX('Лист2'!$C$2:$C$505, MATCH(A304&amp;B304, 'Лист2'!$A$2:$A$505&amp;'Лист2'!$B$2:$B$505, 0))</f>
        <v>60</v>
      </c>
      <c r="F304" s="8">
        <f t="array" ref="F304">INDEX('Лист2'!$D$2:$D$505, MATCH(A304&amp;B304, 'Лист2'!$A$2:$A$505&amp;'Лист2'!$B$2:$B$505, 0))</f>
        <v>11698</v>
      </c>
      <c r="G304" s="8">
        <f t="array" ref="G304">INDEX('Лист2'!$E$2:$E$505, MATCH(A304&amp;B304, 'Лист2'!$A$2:$A$505&amp;'Лист2'!$B$2:$B$505, 0))</f>
        <v>10989</v>
      </c>
      <c r="H304" s="9">
        <f t="shared" si="1"/>
        <v>3222.725</v>
      </c>
      <c r="I304" s="9">
        <f t="shared" si="2"/>
        <v>20</v>
      </c>
      <c r="J304" s="10">
        <f t="shared" si="3"/>
        <v>0.3938930082</v>
      </c>
    </row>
    <row r="305" ht="14.25" customHeight="1">
      <c r="A305" s="11">
        <v>43960.0</v>
      </c>
      <c r="B305" s="12" t="s">
        <v>22</v>
      </c>
      <c r="C305" s="12">
        <v>188319.0</v>
      </c>
      <c r="D305" s="12">
        <v>1.92186315E7</v>
      </c>
      <c r="E305" s="8">
        <f t="array" ref="E305">INDEX('Лист2'!$C$2:$C$505, MATCH(A305&amp;B305, 'Лист2'!$A$2:$A$505&amp;'Лист2'!$B$2:$B$505, 0))</f>
        <v>59</v>
      </c>
      <c r="F305" s="8">
        <f t="array" ref="F305">INDEX('Лист2'!$D$2:$D$505, MATCH(A305&amp;B305, 'Лист2'!$A$2:$A$505&amp;'Лист2'!$B$2:$B$505, 0))</f>
        <v>12016</v>
      </c>
      <c r="G305" s="8">
        <f t="array" ref="G305">INDEX('Лист2'!$E$2:$E$505, MATCH(A305&amp;B305, 'Лист2'!$A$2:$A$505&amp;'Лист2'!$B$2:$B$505, 0))</f>
        <v>11137</v>
      </c>
      <c r="H305" s="9">
        <f t="shared" si="1"/>
        <v>3191.847458</v>
      </c>
      <c r="I305" s="9">
        <f t="shared" si="2"/>
        <v>19</v>
      </c>
      <c r="J305" s="10">
        <f t="shared" si="3"/>
        <v>0.3872881962</v>
      </c>
    </row>
    <row r="306" ht="14.25" customHeight="1">
      <c r="A306" s="6">
        <v>43955.0</v>
      </c>
      <c r="B306" s="7" t="s">
        <v>22</v>
      </c>
      <c r="C306" s="7">
        <v>237544.5</v>
      </c>
      <c r="D306" s="7">
        <v>2.4292218E7</v>
      </c>
      <c r="E306" s="8">
        <f t="array" ref="E306">INDEX('Лист2'!$C$2:$C$505, MATCH(A306&amp;B306, 'Лист2'!$A$2:$A$505&amp;'Лист2'!$B$2:$B$505, 0))</f>
        <v>59</v>
      </c>
      <c r="F306" s="8">
        <f t="array" ref="F306">INDEX('Лист2'!$D$2:$D$505, MATCH(A306&amp;B306, 'Лист2'!$A$2:$A$505&amp;'Лист2'!$B$2:$B$505, 0))</f>
        <v>14423</v>
      </c>
      <c r="G306" s="8">
        <f t="array" ref="G306">INDEX('Лист2'!$E$2:$E$505, MATCH(A306&amp;B306, 'Лист2'!$A$2:$A$505&amp;'Лист2'!$B$2:$B$505, 0))</f>
        <v>13432</v>
      </c>
      <c r="H306" s="9">
        <f t="shared" si="1"/>
        <v>4026.177966</v>
      </c>
      <c r="I306" s="9">
        <f t="shared" si="2"/>
        <v>19</v>
      </c>
      <c r="J306" s="10">
        <f t="shared" si="3"/>
        <v>0.4895296156</v>
      </c>
    </row>
    <row r="307" ht="14.25" customHeight="1">
      <c r="A307" s="11">
        <v>43950.0</v>
      </c>
      <c r="B307" s="12" t="s">
        <v>23</v>
      </c>
      <c r="C307" s="12">
        <v>203209.5</v>
      </c>
      <c r="D307" s="12">
        <v>2.08713915E7</v>
      </c>
      <c r="E307" s="8">
        <f t="array" ref="E307">INDEX('Лист2'!$C$2:$C$505, MATCH(A307&amp;B307, 'Лист2'!$A$2:$A$505&amp;'Лист2'!$B$2:$B$505, 0))</f>
        <v>54</v>
      </c>
      <c r="F307" s="8">
        <f t="array" ref="F307">INDEX('Лист2'!$D$2:$D$505, MATCH(A307&amp;B307, 'Лист2'!$A$2:$A$505&amp;'Лист2'!$B$2:$B$505, 0))</f>
        <v>12747</v>
      </c>
      <c r="G307" s="8">
        <f t="array" ref="G307">INDEX('Лист2'!$E$2:$E$505, MATCH(A307&amp;B307, 'Лист2'!$A$2:$A$505&amp;'Лист2'!$B$2:$B$505, 0))</f>
        <v>11884</v>
      </c>
      <c r="H307" s="9">
        <f t="shared" si="1"/>
        <v>3763.138889</v>
      </c>
      <c r="I307" s="9">
        <f t="shared" si="2"/>
        <v>18</v>
      </c>
      <c r="J307" s="10">
        <f t="shared" si="3"/>
        <v>0.4205941285</v>
      </c>
    </row>
    <row r="308" ht="14.25" customHeight="1">
      <c r="A308" s="6">
        <v>43953.0</v>
      </c>
      <c r="B308" s="7" t="s">
        <v>22</v>
      </c>
      <c r="C308" s="7">
        <v>185979.0</v>
      </c>
      <c r="D308" s="7">
        <v>1.9625364E7</v>
      </c>
      <c r="E308" s="8">
        <f t="array" ref="E308">INDEX('Лист2'!$C$2:$C$505, MATCH(A308&amp;B308, 'Лист2'!$A$2:$A$505&amp;'Лист2'!$B$2:$B$505, 0))</f>
        <v>59</v>
      </c>
      <c r="F308" s="8">
        <f t="array" ref="F308">INDEX('Лист2'!$D$2:$D$505, MATCH(A308&amp;B308, 'Лист2'!$A$2:$A$505&amp;'Лист2'!$B$2:$B$505, 0))</f>
        <v>12429</v>
      </c>
      <c r="G308" s="8">
        <f t="array" ref="G308">INDEX('Лист2'!$E$2:$E$505, MATCH(A308&amp;B308, 'Лист2'!$A$2:$A$505&amp;'Лист2'!$B$2:$B$505, 0))</f>
        <v>11477</v>
      </c>
      <c r="H308" s="9">
        <f t="shared" si="1"/>
        <v>3152.186441</v>
      </c>
      <c r="I308" s="9">
        <f t="shared" si="2"/>
        <v>18</v>
      </c>
      <c r="J308" s="10">
        <f t="shared" si="3"/>
        <v>0.3954845496</v>
      </c>
    </row>
    <row r="309" ht="14.25" customHeight="1">
      <c r="A309" s="11">
        <v>43977.0</v>
      </c>
      <c r="B309" s="12" t="s">
        <v>22</v>
      </c>
      <c r="C309" s="12">
        <v>244905.0</v>
      </c>
      <c r="D309" s="12">
        <v>2.51634315E7</v>
      </c>
      <c r="E309" s="8">
        <f t="array" ref="E309">INDEX('Лист2'!$C$2:$C$505, MATCH(A309&amp;B309, 'Лист2'!$A$2:$A$505&amp;'Лист2'!$B$2:$B$505, 0))</f>
        <v>59</v>
      </c>
      <c r="F309" s="8">
        <f t="array" ref="F309">INDEX('Лист2'!$D$2:$D$505, MATCH(A309&amp;B309, 'Лист2'!$A$2:$A$505&amp;'Лист2'!$B$2:$B$505, 0))</f>
        <v>15369</v>
      </c>
      <c r="G309" s="8">
        <f t="array" ref="G309">INDEX('Лист2'!$E$2:$E$505, MATCH(A309&amp;B309, 'Лист2'!$A$2:$A$505&amp;'Лист2'!$B$2:$B$505, 0))</f>
        <v>14299</v>
      </c>
      <c r="H309" s="9">
        <f t="shared" si="1"/>
        <v>4150.932203</v>
      </c>
      <c r="I309" s="9">
        <f t="shared" si="2"/>
        <v>22</v>
      </c>
      <c r="J309" s="10">
        <f t="shared" si="3"/>
        <v>0.5070860532</v>
      </c>
    </row>
    <row r="310" ht="14.25" customHeight="1">
      <c r="A310" s="6">
        <v>43952.0</v>
      </c>
      <c r="B310" s="7" t="s">
        <v>22</v>
      </c>
      <c r="C310" s="7">
        <v>239409.0</v>
      </c>
      <c r="D310" s="7">
        <v>2.5413351E7</v>
      </c>
      <c r="E310" s="8">
        <f t="array" ref="E310">INDEX('Лист2'!$C$2:$C$505, MATCH(A310&amp;B310, 'Лист2'!$A$2:$A$505&amp;'Лист2'!$B$2:$B$505, 0))</f>
        <v>59</v>
      </c>
      <c r="F310" s="8">
        <f t="array" ref="F310">INDEX('Лист2'!$D$2:$D$505, MATCH(A310&amp;B310, 'Лист2'!$A$2:$A$505&amp;'Лист2'!$B$2:$B$505, 0))</f>
        <v>15222</v>
      </c>
      <c r="G310" s="8">
        <f t="array" ref="G310">INDEX('Лист2'!$E$2:$E$505, MATCH(A310&amp;B310, 'Лист2'!$A$2:$A$505&amp;'Лист2'!$B$2:$B$505, 0))</f>
        <v>13873</v>
      </c>
      <c r="H310" s="9">
        <f t="shared" si="1"/>
        <v>4057.779661</v>
      </c>
      <c r="I310" s="9">
        <f t="shared" si="2"/>
        <v>18</v>
      </c>
      <c r="J310" s="10">
        <f t="shared" si="3"/>
        <v>0.5121223573</v>
      </c>
    </row>
    <row r="311" ht="14.25" customHeight="1">
      <c r="A311" s="11">
        <v>43963.0</v>
      </c>
      <c r="B311" s="12" t="s">
        <v>22</v>
      </c>
      <c r="C311" s="12">
        <v>192886.5</v>
      </c>
      <c r="D311" s="12">
        <v>1.92051795E7</v>
      </c>
      <c r="E311" s="8">
        <f t="array" ref="E311">INDEX('Лист2'!$C$2:$C$505, MATCH(A311&amp;B311, 'Лист2'!$A$2:$A$505&amp;'Лист2'!$B$2:$B$505, 0))</f>
        <v>60</v>
      </c>
      <c r="F311" s="8">
        <f t="array" ref="F311">INDEX('Лист2'!$D$2:$D$505, MATCH(A311&amp;B311, 'Лист2'!$A$2:$A$505&amp;'Лист2'!$B$2:$B$505, 0))</f>
        <v>12000</v>
      </c>
      <c r="G311" s="8">
        <f t="array" ref="G311">INDEX('Лист2'!$E$2:$E$505, MATCH(A311&amp;B311, 'Лист2'!$A$2:$A$505&amp;'Лист2'!$B$2:$B$505, 0))</f>
        <v>11194</v>
      </c>
      <c r="H311" s="9">
        <f t="shared" si="1"/>
        <v>3214.775</v>
      </c>
      <c r="I311" s="9">
        <f t="shared" si="2"/>
        <v>20</v>
      </c>
      <c r="J311" s="10">
        <f t="shared" si="3"/>
        <v>0.3870171154</v>
      </c>
    </row>
    <row r="312" ht="14.25" customHeight="1">
      <c r="A312" s="6">
        <v>43972.0</v>
      </c>
      <c r="B312" s="7" t="s">
        <v>22</v>
      </c>
      <c r="C312" s="7">
        <v>224233.5</v>
      </c>
      <c r="D312" s="7">
        <v>2.2253295E7</v>
      </c>
      <c r="E312" s="8">
        <f t="array" ref="E312">INDEX('Лист2'!$C$2:$C$505, MATCH(A312&amp;B312, 'Лист2'!$A$2:$A$505&amp;'Лист2'!$B$2:$B$505, 0))</f>
        <v>60</v>
      </c>
      <c r="F312" s="8">
        <f t="array" ref="F312">INDEX('Лист2'!$D$2:$D$505, MATCH(A312&amp;B312, 'Лист2'!$A$2:$A$505&amp;'Лист2'!$B$2:$B$505, 0))</f>
        <v>14005</v>
      </c>
      <c r="G312" s="8">
        <f t="array" ref="G312">INDEX('Лист2'!$E$2:$E$505, MATCH(A312&amp;B312, 'Лист2'!$A$2:$A$505&amp;'Лист2'!$B$2:$B$505, 0))</f>
        <v>13002</v>
      </c>
      <c r="H312" s="9">
        <f t="shared" si="1"/>
        <v>3737.225</v>
      </c>
      <c r="I312" s="9">
        <f t="shared" si="2"/>
        <v>21</v>
      </c>
      <c r="J312" s="10">
        <f t="shared" si="3"/>
        <v>0.4484418404</v>
      </c>
    </row>
    <row r="313" ht="14.25" customHeight="1">
      <c r="A313" s="11">
        <v>43971.0</v>
      </c>
      <c r="B313" s="12" t="s">
        <v>22</v>
      </c>
      <c r="C313" s="12">
        <v>219622.5</v>
      </c>
      <c r="D313" s="12">
        <v>2.1959286E7</v>
      </c>
      <c r="E313" s="8">
        <f t="array" ref="E313">INDEX('Лист2'!$C$2:$C$505, MATCH(A313&amp;B313, 'Лист2'!$A$2:$A$505&amp;'Лист2'!$B$2:$B$505, 0))</f>
        <v>60</v>
      </c>
      <c r="F313" s="8">
        <f t="array" ref="F313">INDEX('Лист2'!$D$2:$D$505, MATCH(A313&amp;B313, 'Лист2'!$A$2:$A$505&amp;'Лист2'!$B$2:$B$505, 0))</f>
        <v>13792</v>
      </c>
      <c r="G313" s="8">
        <f t="array" ref="G313">INDEX('Лист2'!$E$2:$E$505, MATCH(A313&amp;B313, 'Лист2'!$A$2:$A$505&amp;'Лист2'!$B$2:$B$505, 0))</f>
        <v>12834</v>
      </c>
      <c r="H313" s="9">
        <f t="shared" si="1"/>
        <v>3660.375</v>
      </c>
      <c r="I313" s="9">
        <f t="shared" si="2"/>
        <v>21</v>
      </c>
      <c r="J313" s="10">
        <f t="shared" si="3"/>
        <v>0.4425170577</v>
      </c>
    </row>
    <row r="314" ht="14.25" customHeight="1">
      <c r="A314" s="6">
        <v>43956.0</v>
      </c>
      <c r="B314" s="7" t="s">
        <v>22</v>
      </c>
      <c r="C314" s="7">
        <v>213582.0</v>
      </c>
      <c r="D314" s="7">
        <v>2.19194355E7</v>
      </c>
      <c r="E314" s="8">
        <f t="array" ref="E314">INDEX('Лист2'!$C$2:$C$505, MATCH(A314&amp;B314, 'Лист2'!$A$2:$A$505&amp;'Лист2'!$B$2:$B$505, 0))</f>
        <v>59</v>
      </c>
      <c r="F314" s="8">
        <f t="array" ref="F314">INDEX('Лист2'!$D$2:$D$505, MATCH(A314&amp;B314, 'Лист2'!$A$2:$A$505&amp;'Лист2'!$B$2:$B$505, 0))</f>
        <v>13469</v>
      </c>
      <c r="G314" s="8">
        <f t="array" ref="G314">INDEX('Лист2'!$E$2:$E$505, MATCH(A314&amp;B314, 'Лист2'!$A$2:$A$505&amp;'Лист2'!$B$2:$B$505, 0))</f>
        <v>12486</v>
      </c>
      <c r="H314" s="9">
        <f t="shared" si="1"/>
        <v>3620.033898</v>
      </c>
      <c r="I314" s="9">
        <f t="shared" si="2"/>
        <v>19</v>
      </c>
      <c r="J314" s="10">
        <f t="shared" si="3"/>
        <v>0.4417140022</v>
      </c>
    </row>
    <row r="315" ht="14.25" customHeight="1">
      <c r="A315" s="11">
        <v>43949.0</v>
      </c>
      <c r="B315" s="12" t="s">
        <v>23</v>
      </c>
      <c r="C315" s="12">
        <v>195705.0</v>
      </c>
      <c r="D315" s="12">
        <v>2.00032635E7</v>
      </c>
      <c r="E315" s="8">
        <f t="array" ref="E315">INDEX('Лист2'!$C$2:$C$505, MATCH(A315&amp;B315, 'Лист2'!$A$2:$A$505&amp;'Лист2'!$B$2:$B$505, 0))</f>
        <v>54</v>
      </c>
      <c r="F315" s="8">
        <f t="array" ref="F315">INDEX('Лист2'!$D$2:$D$505, MATCH(A315&amp;B315, 'Лист2'!$A$2:$A$505&amp;'Лист2'!$B$2:$B$505, 0))</f>
        <v>12306</v>
      </c>
      <c r="G315" s="8">
        <f t="array" ref="G315">INDEX('Лист2'!$E$2:$E$505, MATCH(A315&amp;B315, 'Лист2'!$A$2:$A$505&amp;'Лист2'!$B$2:$B$505, 0))</f>
        <v>11532</v>
      </c>
      <c r="H315" s="9">
        <f t="shared" si="1"/>
        <v>3624.166667</v>
      </c>
      <c r="I315" s="9">
        <f t="shared" si="2"/>
        <v>18</v>
      </c>
      <c r="J315" s="10">
        <f t="shared" si="3"/>
        <v>0.4030998689</v>
      </c>
    </row>
    <row r="316" ht="14.25" customHeight="1">
      <c r="A316" s="6">
        <v>43964.0</v>
      </c>
      <c r="B316" s="7" t="s">
        <v>22</v>
      </c>
      <c r="C316" s="7">
        <v>193722.0</v>
      </c>
      <c r="D316" s="7">
        <v>1.9437273E7</v>
      </c>
      <c r="E316" s="8">
        <f t="array" ref="E316">INDEX('Лист2'!$C$2:$C$505, MATCH(A316&amp;B316, 'Лист2'!$A$2:$A$505&amp;'Лист2'!$B$2:$B$505, 0))</f>
        <v>60</v>
      </c>
      <c r="F316" s="8">
        <f t="array" ref="F316">INDEX('Лист2'!$D$2:$D$505, MATCH(A316&amp;B316, 'Лист2'!$A$2:$A$505&amp;'Лист2'!$B$2:$B$505, 0))</f>
        <v>12007</v>
      </c>
      <c r="G316" s="8">
        <f t="array" ref="G316">INDEX('Лист2'!$E$2:$E$505, MATCH(A316&amp;B316, 'Лист2'!$A$2:$A$505&amp;'Лист2'!$B$2:$B$505, 0))</f>
        <v>11245</v>
      </c>
      <c r="H316" s="9">
        <f t="shared" si="1"/>
        <v>3228.7</v>
      </c>
      <c r="I316" s="9">
        <f t="shared" si="2"/>
        <v>20</v>
      </c>
      <c r="J316" s="10">
        <f t="shared" si="3"/>
        <v>0.3916941952</v>
      </c>
    </row>
    <row r="317" ht="14.25" customHeight="1">
      <c r="A317" s="11">
        <v>43954.0</v>
      </c>
      <c r="B317" s="12" t="s">
        <v>22</v>
      </c>
      <c r="C317" s="12">
        <v>257215.5</v>
      </c>
      <c r="D317" s="12">
        <v>2.64922785E7</v>
      </c>
      <c r="E317" s="8">
        <f t="array" ref="E317">INDEX('Лист2'!$C$2:$C$505, MATCH(A317&amp;B317, 'Лист2'!$A$2:$A$505&amp;'Лист2'!$B$2:$B$505, 0))</f>
        <v>59</v>
      </c>
      <c r="F317" s="8">
        <f t="array" ref="F317">INDEX('Лист2'!$D$2:$D$505, MATCH(A317&amp;B317, 'Лист2'!$A$2:$A$505&amp;'Лист2'!$B$2:$B$505, 0))</f>
        <v>15277</v>
      </c>
      <c r="G317" s="8">
        <f t="array" ref="G317">INDEX('Лист2'!$E$2:$E$505, MATCH(A317&amp;B317, 'Лист2'!$A$2:$A$505&amp;'Лист2'!$B$2:$B$505, 0))</f>
        <v>14163</v>
      </c>
      <c r="H317" s="9">
        <f t="shared" si="1"/>
        <v>4359.584746</v>
      </c>
      <c r="I317" s="9">
        <f t="shared" si="2"/>
        <v>18</v>
      </c>
      <c r="J317" s="10">
        <f t="shared" si="3"/>
        <v>0.5338645862</v>
      </c>
    </row>
    <row r="318" ht="14.25" customHeight="1">
      <c r="A318" s="6">
        <v>43957.0</v>
      </c>
      <c r="B318" s="7" t="s">
        <v>22</v>
      </c>
      <c r="C318" s="7">
        <v>224779.5</v>
      </c>
      <c r="D318" s="7">
        <v>2.3032992E7</v>
      </c>
      <c r="E318" s="8">
        <f t="array" ref="E318">INDEX('Лист2'!$C$2:$C$505, MATCH(A318&amp;B318, 'Лист2'!$A$2:$A$505&amp;'Лист2'!$B$2:$B$505, 0))</f>
        <v>59</v>
      </c>
      <c r="F318" s="8">
        <f t="array" ref="F318">INDEX('Лист2'!$D$2:$D$505, MATCH(A318&amp;B318, 'Лист2'!$A$2:$A$505&amp;'Лист2'!$B$2:$B$505, 0))</f>
        <v>14103</v>
      </c>
      <c r="G318" s="8">
        <f t="array" ref="G318">INDEX('Лист2'!$E$2:$E$505, MATCH(A318&amp;B318, 'Лист2'!$A$2:$A$505&amp;'Лист2'!$B$2:$B$505, 0))</f>
        <v>13118</v>
      </c>
      <c r="H318" s="9">
        <f t="shared" si="1"/>
        <v>3809.822034</v>
      </c>
      <c r="I318" s="9">
        <f t="shared" si="2"/>
        <v>19</v>
      </c>
      <c r="J318" s="10">
        <f t="shared" si="3"/>
        <v>0.4641540645</v>
      </c>
    </row>
    <row r="319" ht="14.25" customHeight="1">
      <c r="A319" s="11">
        <v>43974.0</v>
      </c>
      <c r="B319" s="12" t="s">
        <v>22</v>
      </c>
      <c r="C319" s="12">
        <v>292018.5</v>
      </c>
      <c r="D319" s="12">
        <v>2.85909105E7</v>
      </c>
      <c r="E319" s="8">
        <f t="array" ref="E319">INDEX('Лист2'!$C$2:$C$505, MATCH(A319&amp;B319, 'Лист2'!$A$2:$A$505&amp;'Лист2'!$B$2:$B$505, 0))</f>
        <v>60</v>
      </c>
      <c r="F319" s="8">
        <f t="array" ref="F319">INDEX('Лист2'!$D$2:$D$505, MATCH(A319&amp;B319, 'Лист2'!$A$2:$A$505&amp;'Лист2'!$B$2:$B$505, 0))</f>
        <v>17295</v>
      </c>
      <c r="G319" s="8">
        <f t="array" ref="G319">INDEX('Лист2'!$E$2:$E$505, MATCH(A319&amp;B319, 'Лист2'!$A$2:$A$505&amp;'Лист2'!$B$2:$B$505, 0))</f>
        <v>16010</v>
      </c>
      <c r="H319" s="9">
        <f t="shared" si="1"/>
        <v>4866.975</v>
      </c>
      <c r="I319" s="9">
        <f t="shared" si="2"/>
        <v>21</v>
      </c>
      <c r="J319" s="10">
        <f t="shared" si="3"/>
        <v>0.5761555996</v>
      </c>
    </row>
    <row r="320" ht="14.25" customHeight="1">
      <c r="A320" s="6">
        <v>43976.0</v>
      </c>
      <c r="B320" s="7" t="s">
        <v>22</v>
      </c>
      <c r="C320" s="7">
        <v>198751.5</v>
      </c>
      <c r="D320" s="7">
        <v>2.05827435E7</v>
      </c>
      <c r="E320" s="8">
        <f t="array" ref="E320">INDEX('Лист2'!$C$2:$C$505, MATCH(A320&amp;B320, 'Лист2'!$A$2:$A$505&amp;'Лист2'!$B$2:$B$505, 0))</f>
        <v>59</v>
      </c>
      <c r="F320" s="8">
        <f t="array" ref="F320">INDEX('Лист2'!$D$2:$D$505, MATCH(A320&amp;B320, 'Лист2'!$A$2:$A$505&amp;'Лист2'!$B$2:$B$505, 0))</f>
        <v>12983</v>
      </c>
      <c r="G320" s="8">
        <f t="array" ref="G320">INDEX('Лист2'!$E$2:$E$505, MATCH(A320&amp;B320, 'Лист2'!$A$2:$A$505&amp;'Лист2'!$B$2:$B$505, 0))</f>
        <v>12056</v>
      </c>
      <c r="H320" s="9">
        <f t="shared" si="1"/>
        <v>3368.669492</v>
      </c>
      <c r="I320" s="9">
        <f t="shared" si="2"/>
        <v>22</v>
      </c>
      <c r="J320" s="10">
        <f t="shared" si="3"/>
        <v>0.4147773791</v>
      </c>
    </row>
    <row r="321" ht="14.25" customHeight="1">
      <c r="A321" s="11">
        <v>43951.0</v>
      </c>
      <c r="B321" s="12" t="s">
        <v>22</v>
      </c>
      <c r="C321" s="12">
        <v>214386.0</v>
      </c>
      <c r="D321" s="12">
        <v>2.253E7</v>
      </c>
      <c r="E321" s="8">
        <f t="array" ref="E321">INDEX('Лист2'!$C$2:$C$505, MATCH(A321&amp;B321, 'Лист2'!$A$2:$A$505&amp;'Лист2'!$B$2:$B$505, 0))</f>
        <v>59</v>
      </c>
      <c r="F321" s="8">
        <f t="array" ref="F321">INDEX('Лист2'!$D$2:$D$505, MATCH(A321&amp;B321, 'Лист2'!$A$2:$A$505&amp;'Лист2'!$B$2:$B$505, 0))</f>
        <v>13251</v>
      </c>
      <c r="G321" s="8">
        <f t="array" ref="G321">INDEX('Лист2'!$E$2:$E$505, MATCH(A321&amp;B321, 'Лист2'!$A$2:$A$505&amp;'Лист2'!$B$2:$B$505, 0))</f>
        <v>12255</v>
      </c>
      <c r="H321" s="9">
        <f t="shared" si="1"/>
        <v>3633.661017</v>
      </c>
      <c r="I321" s="9">
        <f t="shared" si="2"/>
        <v>18</v>
      </c>
      <c r="J321" s="10">
        <f t="shared" si="3"/>
        <v>0.454017918</v>
      </c>
    </row>
    <row r="322" ht="14.25" customHeight="1">
      <c r="A322" s="6">
        <v>43961.0</v>
      </c>
      <c r="B322" s="7" t="s">
        <v>22</v>
      </c>
      <c r="C322" s="7">
        <v>243825.0</v>
      </c>
      <c r="D322" s="7">
        <v>2.48904045E7</v>
      </c>
      <c r="E322" s="8">
        <f t="array" ref="E322">INDEX('Лист2'!$C$2:$C$505, MATCH(A322&amp;B322, 'Лист2'!$A$2:$A$505&amp;'Лист2'!$B$2:$B$505, 0))</f>
        <v>59</v>
      </c>
      <c r="F322" s="8">
        <f t="array" ref="F322">INDEX('Лист2'!$D$2:$D$505, MATCH(A322&amp;B322, 'Лист2'!$A$2:$A$505&amp;'Лист2'!$B$2:$B$505, 0))</f>
        <v>14569</v>
      </c>
      <c r="G322" s="8">
        <f t="array" ref="G322">INDEX('Лист2'!$E$2:$E$505, MATCH(A322&amp;B322, 'Лист2'!$A$2:$A$505&amp;'Лист2'!$B$2:$B$505, 0))</f>
        <v>13566</v>
      </c>
      <c r="H322" s="9">
        <f t="shared" si="1"/>
        <v>4132.627119</v>
      </c>
      <c r="I322" s="9">
        <f t="shared" si="2"/>
        <v>19</v>
      </c>
      <c r="J322" s="10">
        <f t="shared" si="3"/>
        <v>0.5015840936</v>
      </c>
    </row>
    <row r="323" ht="14.25" customHeight="1">
      <c r="A323" s="11">
        <v>43959.0</v>
      </c>
      <c r="B323" s="12" t="s">
        <v>22</v>
      </c>
      <c r="C323" s="12">
        <v>232701.0</v>
      </c>
      <c r="D323" s="12">
        <v>2.38819485E7</v>
      </c>
      <c r="E323" s="8">
        <f t="array" ref="E323">INDEX('Лист2'!$C$2:$C$505, MATCH(A323&amp;B323, 'Лист2'!$A$2:$A$505&amp;'Лист2'!$B$2:$B$505, 0))</f>
        <v>59</v>
      </c>
      <c r="F323" s="8">
        <f t="array" ref="F323">INDEX('Лист2'!$D$2:$D$505, MATCH(A323&amp;B323, 'Лист2'!$A$2:$A$505&amp;'Лист2'!$B$2:$B$505, 0))</f>
        <v>14098</v>
      </c>
      <c r="G323" s="8">
        <f t="array" ref="G323">INDEX('Лист2'!$E$2:$E$505, MATCH(A323&amp;B323, 'Лист2'!$A$2:$A$505&amp;'Лист2'!$B$2:$B$505, 0))</f>
        <v>13106</v>
      </c>
      <c r="H323" s="9">
        <f t="shared" si="1"/>
        <v>3944.084746</v>
      </c>
      <c r="I323" s="9">
        <f t="shared" si="2"/>
        <v>19</v>
      </c>
      <c r="J323" s="10">
        <f t="shared" si="3"/>
        <v>0.4812619856</v>
      </c>
    </row>
    <row r="324" ht="14.25" customHeight="1">
      <c r="A324" s="6">
        <v>43958.0</v>
      </c>
      <c r="B324" s="7" t="s">
        <v>22</v>
      </c>
      <c r="C324" s="7">
        <v>219411.0</v>
      </c>
      <c r="D324" s="7">
        <v>2.246013E7</v>
      </c>
      <c r="E324" s="8">
        <f t="array" ref="E324">INDEX('Лист2'!$C$2:$C$505, MATCH(A324&amp;B324, 'Лист2'!$A$2:$A$505&amp;'Лист2'!$B$2:$B$505, 0))</f>
        <v>59</v>
      </c>
      <c r="F324" s="8">
        <f t="array" ref="F324">INDEX('Лист2'!$D$2:$D$505, MATCH(A324&amp;B324, 'Лист2'!$A$2:$A$505&amp;'Лист2'!$B$2:$B$505, 0))</f>
        <v>13495</v>
      </c>
      <c r="G324" s="8">
        <f t="array" ref="G324">INDEX('Лист2'!$E$2:$E$505, MATCH(A324&amp;B324, 'Лист2'!$A$2:$A$505&amp;'Лист2'!$B$2:$B$505, 0))</f>
        <v>12517</v>
      </c>
      <c r="H324" s="9">
        <f t="shared" si="1"/>
        <v>3718.830508</v>
      </c>
      <c r="I324" s="9">
        <f t="shared" si="2"/>
        <v>19</v>
      </c>
      <c r="J324" s="10">
        <f t="shared" si="3"/>
        <v>0.4526099183</v>
      </c>
    </row>
    <row r="325" ht="14.25" customHeight="1">
      <c r="A325" s="11">
        <v>43975.0</v>
      </c>
      <c r="B325" s="12" t="s">
        <v>22</v>
      </c>
      <c r="C325" s="12">
        <v>200029.5</v>
      </c>
      <c r="D325" s="12">
        <v>1.9959801E7</v>
      </c>
      <c r="E325" s="8">
        <f t="array" ref="E325">INDEX('Лист2'!$C$2:$C$505, MATCH(A325&amp;B325, 'Лист2'!$A$2:$A$505&amp;'Лист2'!$B$2:$B$505, 0))</f>
        <v>60</v>
      </c>
      <c r="F325" s="8">
        <f t="array" ref="F325">INDEX('Лист2'!$D$2:$D$505, MATCH(A325&amp;B325, 'Лист2'!$A$2:$A$505&amp;'Лист2'!$B$2:$B$505, 0))</f>
        <v>12822</v>
      </c>
      <c r="G325" s="8">
        <f t="array" ref="G325">INDEX('Лист2'!$E$2:$E$505, MATCH(A325&amp;B325, 'Лист2'!$A$2:$A$505&amp;'Лист2'!$B$2:$B$505, 0))</f>
        <v>11916</v>
      </c>
      <c r="H325" s="9">
        <f t="shared" si="1"/>
        <v>3333.825</v>
      </c>
      <c r="I325" s="9">
        <f t="shared" si="2"/>
        <v>21</v>
      </c>
      <c r="J325" s="10">
        <f t="shared" si="3"/>
        <v>0.4022240254</v>
      </c>
    </row>
    <row r="326" ht="14.25" customHeight="1">
      <c r="A326" s="6">
        <v>43967.0</v>
      </c>
      <c r="B326" s="7" t="s">
        <v>23</v>
      </c>
      <c r="C326" s="7">
        <v>225480.0</v>
      </c>
      <c r="D326" s="7">
        <v>2.23553385E7</v>
      </c>
      <c r="E326" s="8">
        <f t="array" ref="E326">INDEX('Лист2'!$C$2:$C$505, MATCH(A326&amp;B326, 'Лист2'!$A$2:$A$505&amp;'Лист2'!$B$2:$B$505, 0))</f>
        <v>54</v>
      </c>
      <c r="F326" s="8">
        <f t="array" ref="F326">INDEX('Лист2'!$D$2:$D$505, MATCH(A326&amp;B326, 'Лист2'!$A$2:$A$505&amp;'Лист2'!$B$2:$B$505, 0))</f>
        <v>13170</v>
      </c>
      <c r="G326" s="8">
        <f t="array" ref="G326">INDEX('Лист2'!$E$2:$E$505, MATCH(A326&amp;B326, 'Лист2'!$A$2:$A$505&amp;'Лист2'!$B$2:$B$505, 0))</f>
        <v>12299</v>
      </c>
      <c r="H326" s="9">
        <f t="shared" si="1"/>
        <v>4175.555556</v>
      </c>
      <c r="I326" s="9">
        <f t="shared" si="2"/>
        <v>20</v>
      </c>
      <c r="J326" s="10">
        <f t="shared" si="3"/>
        <v>0.4504981909</v>
      </c>
    </row>
    <row r="327" ht="14.25" customHeight="1">
      <c r="A327" s="11">
        <v>43970.0</v>
      </c>
      <c r="B327" s="12" t="s">
        <v>23</v>
      </c>
      <c r="C327" s="12">
        <v>211453.5</v>
      </c>
      <c r="D327" s="12">
        <v>2.05900725E7</v>
      </c>
      <c r="E327" s="8">
        <f t="array" ref="E327">INDEX('Лист2'!$C$2:$C$505, MATCH(A327&amp;B327, 'Лист2'!$A$2:$A$505&amp;'Лист2'!$B$2:$B$505, 0))</f>
        <v>54</v>
      </c>
      <c r="F327" s="8">
        <f t="array" ref="F327">INDEX('Лист2'!$D$2:$D$505, MATCH(A327&amp;B327, 'Лист2'!$A$2:$A$505&amp;'Лист2'!$B$2:$B$505, 0))</f>
        <v>13070</v>
      </c>
      <c r="G327" s="8">
        <f t="array" ref="G327">INDEX('Лист2'!$E$2:$E$505, MATCH(A327&amp;B327, 'Лист2'!$A$2:$A$505&amp;'Лист2'!$B$2:$B$505, 0))</f>
        <v>12244</v>
      </c>
      <c r="H327" s="9">
        <f t="shared" si="1"/>
        <v>3915.805556</v>
      </c>
      <c r="I327" s="9">
        <f t="shared" si="2"/>
        <v>21</v>
      </c>
      <c r="J327" s="10">
        <f t="shared" si="3"/>
        <v>0.4149250709</v>
      </c>
    </row>
    <row r="328" ht="14.25" customHeight="1">
      <c r="A328" s="6">
        <v>43968.0</v>
      </c>
      <c r="B328" s="7" t="s">
        <v>23</v>
      </c>
      <c r="C328" s="7">
        <v>184801.5</v>
      </c>
      <c r="D328" s="7">
        <v>1.8449091E7</v>
      </c>
      <c r="E328" s="8">
        <f t="array" ref="E328">INDEX('Лист2'!$C$2:$C$505, MATCH(A328&amp;B328, 'Лист2'!$A$2:$A$505&amp;'Лист2'!$B$2:$B$505, 0))</f>
        <v>54</v>
      </c>
      <c r="F328" s="8">
        <f t="array" ref="F328">INDEX('Лист2'!$D$2:$D$505, MATCH(A328&amp;B328, 'Лист2'!$A$2:$A$505&amp;'Лист2'!$B$2:$B$505, 0))</f>
        <v>11128</v>
      </c>
      <c r="G328" s="8">
        <f t="array" ref="G328">INDEX('Лист2'!$E$2:$E$505, MATCH(A328&amp;B328, 'Лист2'!$A$2:$A$505&amp;'Лист2'!$B$2:$B$505, 0))</f>
        <v>10467</v>
      </c>
      <c r="H328" s="9">
        <f t="shared" si="1"/>
        <v>3422.25</v>
      </c>
      <c r="I328" s="9">
        <f t="shared" si="2"/>
        <v>20</v>
      </c>
      <c r="J328" s="10">
        <f t="shared" si="3"/>
        <v>0.3717806429</v>
      </c>
    </row>
    <row r="329" ht="14.25" customHeight="1">
      <c r="A329" s="11">
        <v>43960.0</v>
      </c>
      <c r="B329" s="12" t="s">
        <v>23</v>
      </c>
      <c r="C329" s="12">
        <v>177976.5</v>
      </c>
      <c r="D329" s="12">
        <v>1.80857985E7</v>
      </c>
      <c r="E329" s="8">
        <f t="array" ref="E329">INDEX('Лист2'!$C$2:$C$505, MATCH(A329&amp;B329, 'Лист2'!$A$2:$A$505&amp;'Лист2'!$B$2:$B$505, 0))</f>
        <v>54</v>
      </c>
      <c r="F329" s="8">
        <f t="array" ref="F329">INDEX('Лист2'!$D$2:$D$505, MATCH(A329&amp;B329, 'Лист2'!$A$2:$A$505&amp;'Лист2'!$B$2:$B$505, 0))</f>
        <v>11288</v>
      </c>
      <c r="G329" s="8">
        <f t="array" ref="G329">INDEX('Лист2'!$E$2:$E$505, MATCH(A329&amp;B329, 'Лист2'!$A$2:$A$505&amp;'Лист2'!$B$2:$B$505, 0))</f>
        <v>10492</v>
      </c>
      <c r="H329" s="9">
        <f t="shared" si="1"/>
        <v>3295.861111</v>
      </c>
      <c r="I329" s="9">
        <f t="shared" si="2"/>
        <v>19</v>
      </c>
      <c r="J329" s="10">
        <f t="shared" si="3"/>
        <v>0.3644596795</v>
      </c>
    </row>
    <row r="330" ht="14.25" customHeight="1">
      <c r="A330" s="6">
        <v>43955.0</v>
      </c>
      <c r="B330" s="7" t="s">
        <v>23</v>
      </c>
      <c r="C330" s="7">
        <v>223617.0</v>
      </c>
      <c r="D330" s="7">
        <v>2.27968275E7</v>
      </c>
      <c r="E330" s="8">
        <f t="array" ref="E330">INDEX('Лист2'!$C$2:$C$505, MATCH(A330&amp;B330, 'Лист2'!$A$2:$A$505&amp;'Лист2'!$B$2:$B$505, 0))</f>
        <v>54</v>
      </c>
      <c r="F330" s="8">
        <f t="array" ref="F330">INDEX('Лист2'!$D$2:$D$505, MATCH(A330&amp;B330, 'Лист2'!$A$2:$A$505&amp;'Лист2'!$B$2:$B$505, 0))</f>
        <v>13606</v>
      </c>
      <c r="G330" s="8">
        <f t="array" ref="G330">INDEX('Лист2'!$E$2:$E$505, MATCH(A330&amp;B330, 'Лист2'!$A$2:$A$505&amp;'Лист2'!$B$2:$B$505, 0))</f>
        <v>12697</v>
      </c>
      <c r="H330" s="9">
        <f t="shared" si="1"/>
        <v>4141.055556</v>
      </c>
      <c r="I330" s="9">
        <f t="shared" si="2"/>
        <v>19</v>
      </c>
      <c r="J330" s="10">
        <f t="shared" si="3"/>
        <v>0.4593949471</v>
      </c>
    </row>
    <row r="331" ht="14.25" customHeight="1">
      <c r="A331" s="11">
        <v>43953.0</v>
      </c>
      <c r="B331" s="12" t="s">
        <v>23</v>
      </c>
      <c r="C331" s="12">
        <v>176397.0</v>
      </c>
      <c r="D331" s="12">
        <v>1.86259215E7</v>
      </c>
      <c r="E331" s="8">
        <f t="array" ref="E331">INDEX('Лист2'!$C$2:$C$505, MATCH(A331&amp;B331, 'Лист2'!$A$2:$A$505&amp;'Лист2'!$B$2:$B$505, 0))</f>
        <v>54</v>
      </c>
      <c r="F331" s="8">
        <f t="array" ref="F331">INDEX('Лист2'!$D$2:$D$505, MATCH(A331&amp;B331, 'Лист2'!$A$2:$A$505&amp;'Лист2'!$B$2:$B$505, 0))</f>
        <v>11622</v>
      </c>
      <c r="G331" s="8">
        <f t="array" ref="G331">INDEX('Лист2'!$E$2:$E$505, MATCH(A331&amp;B331, 'Лист2'!$A$2:$A$505&amp;'Лист2'!$B$2:$B$505, 0))</f>
        <v>10754</v>
      </c>
      <c r="H331" s="9">
        <f t="shared" si="1"/>
        <v>3266.611111</v>
      </c>
      <c r="I331" s="9">
        <f t="shared" si="2"/>
        <v>18</v>
      </c>
      <c r="J331" s="10">
        <f t="shared" si="3"/>
        <v>0.375344079</v>
      </c>
    </row>
    <row r="332" ht="14.25" customHeight="1">
      <c r="A332" s="6">
        <v>43977.0</v>
      </c>
      <c r="B332" s="7" t="s">
        <v>23</v>
      </c>
      <c r="C332" s="7">
        <v>232369.5</v>
      </c>
      <c r="D332" s="7">
        <v>2.3856345E7</v>
      </c>
      <c r="E332" s="8">
        <f t="array" ref="E332">INDEX('Лист2'!$C$2:$C$505, MATCH(A332&amp;B332, 'Лист2'!$A$2:$A$505&amp;'Лист2'!$B$2:$B$505, 0))</f>
        <v>54</v>
      </c>
      <c r="F332" s="8">
        <f t="array" ref="F332">INDEX('Лист2'!$D$2:$D$505, MATCH(A332&amp;B332, 'Лист2'!$A$2:$A$505&amp;'Лист2'!$B$2:$B$505, 0))</f>
        <v>14482</v>
      </c>
      <c r="G332" s="8">
        <f t="array" ref="G332">INDEX('Лист2'!$E$2:$E$505, MATCH(A332&amp;B332, 'Лист2'!$A$2:$A$505&amp;'Лист2'!$B$2:$B$505, 0))</f>
        <v>13510</v>
      </c>
      <c r="H332" s="9">
        <f t="shared" si="1"/>
        <v>4303.138889</v>
      </c>
      <c r="I332" s="9">
        <f t="shared" si="2"/>
        <v>22</v>
      </c>
      <c r="J332" s="10">
        <f t="shared" si="3"/>
        <v>0.4807460314</v>
      </c>
    </row>
    <row r="333" ht="14.25" customHeight="1">
      <c r="A333" s="11">
        <v>43952.0</v>
      </c>
      <c r="B333" s="12" t="s">
        <v>23</v>
      </c>
      <c r="C333" s="12">
        <v>226540.5</v>
      </c>
      <c r="D333" s="12">
        <v>2.3953536E7</v>
      </c>
      <c r="E333" s="8">
        <f t="array" ref="E333">INDEX('Лист2'!$C$2:$C$505, MATCH(A333&amp;B333, 'Лист2'!$A$2:$A$505&amp;'Лист2'!$B$2:$B$505, 0))</f>
        <v>54</v>
      </c>
      <c r="F333" s="8">
        <f t="array" ref="F333">INDEX('Лист2'!$D$2:$D$505, MATCH(A333&amp;B333, 'Лист2'!$A$2:$A$505&amp;'Лист2'!$B$2:$B$505, 0))</f>
        <v>14205</v>
      </c>
      <c r="G333" s="8">
        <f t="array" ref="G333">INDEX('Лист2'!$E$2:$E$505, MATCH(A333&amp;B333, 'Лист2'!$A$2:$A$505&amp;'Лист2'!$B$2:$B$505, 0))</f>
        <v>13026</v>
      </c>
      <c r="H333" s="9">
        <f t="shared" si="1"/>
        <v>4195.194444</v>
      </c>
      <c r="I333" s="9">
        <f t="shared" si="2"/>
        <v>18</v>
      </c>
      <c r="J333" s="10">
        <f t="shared" si="3"/>
        <v>0.4827045958</v>
      </c>
    </row>
    <row r="334" ht="14.25" customHeight="1">
      <c r="A334" s="6">
        <v>43963.0</v>
      </c>
      <c r="B334" s="7" t="s">
        <v>23</v>
      </c>
      <c r="C334" s="7">
        <v>189679.5</v>
      </c>
      <c r="D334" s="7">
        <v>1.87180365E7</v>
      </c>
      <c r="E334" s="8">
        <f t="array" ref="E334">INDEX('Лист2'!$C$2:$C$505, MATCH(A334&amp;B334, 'Лист2'!$A$2:$A$505&amp;'Лист2'!$B$2:$B$505, 0))</f>
        <v>54</v>
      </c>
      <c r="F334" s="8">
        <f t="array" ref="F334">INDEX('Лист2'!$D$2:$D$505, MATCH(A334&amp;B334, 'Лист2'!$A$2:$A$505&amp;'Лист2'!$B$2:$B$505, 0))</f>
        <v>11614</v>
      </c>
      <c r="G334" s="8">
        <f t="array" ref="G334">INDEX('Лист2'!$E$2:$E$505, MATCH(A334&amp;B334, 'Лист2'!$A$2:$A$505&amp;'Лист2'!$B$2:$B$505, 0))</f>
        <v>10862</v>
      </c>
      <c r="H334" s="9">
        <f t="shared" si="1"/>
        <v>3512.583333</v>
      </c>
      <c r="I334" s="9">
        <f t="shared" si="2"/>
        <v>20</v>
      </c>
      <c r="J334" s="10">
        <f t="shared" si="3"/>
        <v>0.3772003533</v>
      </c>
    </row>
    <row r="335" ht="14.25" customHeight="1">
      <c r="A335" s="11">
        <v>43972.0</v>
      </c>
      <c r="B335" s="12" t="s">
        <v>23</v>
      </c>
      <c r="C335" s="12">
        <v>213640.5</v>
      </c>
      <c r="D335" s="12">
        <v>2.10426735E7</v>
      </c>
      <c r="E335" s="8">
        <f t="array" ref="E335">INDEX('Лист2'!$C$2:$C$505, MATCH(A335&amp;B335, 'Лист2'!$A$2:$A$505&amp;'Лист2'!$B$2:$B$505, 0))</f>
        <v>54</v>
      </c>
      <c r="F335" s="8">
        <f t="array" ref="F335">INDEX('Лист2'!$D$2:$D$505, MATCH(A335&amp;B335, 'Лист2'!$A$2:$A$505&amp;'Лист2'!$B$2:$B$505, 0))</f>
        <v>13240</v>
      </c>
      <c r="G335" s="8">
        <f t="array" ref="G335">INDEX('Лист2'!$E$2:$E$505, MATCH(A335&amp;B335, 'Лист2'!$A$2:$A$505&amp;'Лист2'!$B$2:$B$505, 0))</f>
        <v>12360</v>
      </c>
      <c r="H335" s="9">
        <f t="shared" si="1"/>
        <v>3956.305556</v>
      </c>
      <c r="I335" s="9">
        <f t="shared" si="2"/>
        <v>21</v>
      </c>
      <c r="J335" s="10">
        <f t="shared" si="3"/>
        <v>0.4240457528</v>
      </c>
    </row>
    <row r="336" ht="14.25" customHeight="1">
      <c r="A336" s="6">
        <v>43971.0</v>
      </c>
      <c r="B336" s="7" t="s">
        <v>23</v>
      </c>
      <c r="C336" s="7">
        <v>214885.5</v>
      </c>
      <c r="D336" s="7">
        <v>2.14113495E7</v>
      </c>
      <c r="E336" s="8">
        <f t="array" ref="E336">INDEX('Лист2'!$C$2:$C$505, MATCH(A336&amp;B336, 'Лист2'!$A$2:$A$505&amp;'Лист2'!$B$2:$B$505, 0))</f>
        <v>54</v>
      </c>
      <c r="F336" s="8">
        <f t="array" ref="F336">INDEX('Лист2'!$D$2:$D$505, MATCH(A336&amp;B336, 'Лист2'!$A$2:$A$505&amp;'Лист2'!$B$2:$B$505, 0))</f>
        <v>13298</v>
      </c>
      <c r="G336" s="8">
        <f t="array" ref="G336">INDEX('Лист2'!$E$2:$E$505, MATCH(A336&amp;B336, 'Лист2'!$A$2:$A$505&amp;'Лист2'!$B$2:$B$505, 0))</f>
        <v>12428</v>
      </c>
      <c r="H336" s="9">
        <f t="shared" si="1"/>
        <v>3979.361111</v>
      </c>
      <c r="I336" s="9">
        <f t="shared" si="2"/>
        <v>21</v>
      </c>
      <c r="J336" s="10">
        <f t="shared" si="3"/>
        <v>0.4314752029</v>
      </c>
    </row>
    <row r="337" ht="14.25" customHeight="1">
      <c r="A337" s="11">
        <v>43956.0</v>
      </c>
      <c r="B337" s="12" t="s">
        <v>23</v>
      </c>
      <c r="C337" s="12">
        <v>203832.0</v>
      </c>
      <c r="D337" s="12">
        <v>2.08801425E7</v>
      </c>
      <c r="E337" s="8">
        <f t="array" ref="E337">INDEX('Лист2'!$C$2:$C$505, MATCH(A337&amp;B337, 'Лист2'!$A$2:$A$505&amp;'Лист2'!$B$2:$B$505, 0))</f>
        <v>54</v>
      </c>
      <c r="F337" s="8">
        <f t="array" ref="F337">INDEX('Лист2'!$D$2:$D$505, MATCH(A337&amp;B337, 'Лист2'!$A$2:$A$505&amp;'Лист2'!$B$2:$B$505, 0))</f>
        <v>12775</v>
      </c>
      <c r="G337" s="8">
        <f t="array" ref="G337">INDEX('Лист2'!$E$2:$E$505, MATCH(A337&amp;B337, 'Лист2'!$A$2:$A$505&amp;'Лист2'!$B$2:$B$505, 0))</f>
        <v>11887</v>
      </c>
      <c r="H337" s="9">
        <f t="shared" si="1"/>
        <v>3774.666667</v>
      </c>
      <c r="I337" s="9">
        <f t="shared" si="2"/>
        <v>19</v>
      </c>
      <c r="J337" s="10">
        <f t="shared" si="3"/>
        <v>0.420770476</v>
      </c>
    </row>
    <row r="338" ht="14.25" customHeight="1">
      <c r="A338" s="6">
        <v>43964.0</v>
      </c>
      <c r="B338" s="7" t="s">
        <v>23</v>
      </c>
      <c r="C338" s="7">
        <v>188662.5</v>
      </c>
      <c r="D338" s="7">
        <v>1.87840005E7</v>
      </c>
      <c r="E338" s="8">
        <f t="array" ref="E338">INDEX('Лист2'!$C$2:$C$505, MATCH(A338&amp;B338, 'Лист2'!$A$2:$A$505&amp;'Лист2'!$B$2:$B$505, 0))</f>
        <v>54</v>
      </c>
      <c r="F338" s="8">
        <f t="array" ref="F338">INDEX('Лист2'!$D$2:$D$505, MATCH(A338&amp;B338, 'Лист2'!$A$2:$A$505&amp;'Лист2'!$B$2:$B$505, 0))</f>
        <v>11522</v>
      </c>
      <c r="G338" s="8">
        <f t="array" ref="G338">INDEX('Лист2'!$E$2:$E$505, MATCH(A338&amp;B338, 'Лист2'!$A$2:$A$505&amp;'Лист2'!$B$2:$B$505, 0))</f>
        <v>10803</v>
      </c>
      <c r="H338" s="9">
        <f t="shared" si="1"/>
        <v>3493.75</v>
      </c>
      <c r="I338" s="9">
        <f t="shared" si="2"/>
        <v>20</v>
      </c>
      <c r="J338" s="10">
        <f t="shared" si="3"/>
        <v>0.3785296404</v>
      </c>
    </row>
    <row r="339" ht="14.25" customHeight="1">
      <c r="A339" s="11">
        <v>43982.0</v>
      </c>
      <c r="B339" s="12" t="s">
        <v>22</v>
      </c>
      <c r="C339" s="12">
        <v>215277.0</v>
      </c>
      <c r="D339" s="12">
        <v>2.15853165E7</v>
      </c>
      <c r="E339" s="8">
        <f t="array" ref="E339">INDEX('Лист2'!$C$2:$C$505, MATCH(A339&amp;B339, 'Лист2'!$A$2:$A$505&amp;'Лист2'!$B$2:$B$505, 0))</f>
        <v>59</v>
      </c>
      <c r="F339" s="8">
        <f t="array" ref="F339">INDEX('Лист2'!$D$2:$D$505, MATCH(A339&amp;B339, 'Лист2'!$A$2:$A$505&amp;'Лист2'!$B$2:$B$505, 0))</f>
        <v>13684</v>
      </c>
      <c r="G339" s="8">
        <f t="array" ref="G339">INDEX('Лист2'!$E$2:$E$505, MATCH(A339&amp;B339, 'Лист2'!$A$2:$A$505&amp;'Лист2'!$B$2:$B$505, 0))</f>
        <v>12690</v>
      </c>
      <c r="H339" s="9">
        <f t="shared" si="1"/>
        <v>3648.762712</v>
      </c>
      <c r="I339" s="9">
        <f t="shared" si="2"/>
        <v>22</v>
      </c>
      <c r="J339" s="10">
        <f t="shared" si="3"/>
        <v>0.4349809346</v>
      </c>
    </row>
    <row r="340" ht="14.25" customHeight="1">
      <c r="A340" s="6">
        <v>43954.0</v>
      </c>
      <c r="B340" s="7" t="s">
        <v>23</v>
      </c>
      <c r="C340" s="7">
        <v>248148.0</v>
      </c>
      <c r="D340" s="7">
        <v>2.55190725E7</v>
      </c>
      <c r="E340" s="8">
        <f t="array" ref="E340">INDEX('Лист2'!$C$2:$C$505, MATCH(A340&amp;B340, 'Лист2'!$A$2:$A$505&amp;'Лист2'!$B$2:$B$505, 0))</f>
        <v>54</v>
      </c>
      <c r="F340" s="8">
        <f t="array" ref="F340">INDEX('Лист2'!$D$2:$D$505, MATCH(A340&amp;B340, 'Лист2'!$A$2:$A$505&amp;'Лист2'!$B$2:$B$505, 0))</f>
        <v>14823</v>
      </c>
      <c r="G340" s="8">
        <f t="array" ref="G340">INDEX('Лист2'!$E$2:$E$505, MATCH(A340&amp;B340, 'Лист2'!$A$2:$A$505&amp;'Лист2'!$B$2:$B$505, 0))</f>
        <v>13751</v>
      </c>
      <c r="H340" s="9">
        <f t="shared" si="1"/>
        <v>4595.333333</v>
      </c>
      <c r="I340" s="9">
        <f t="shared" si="2"/>
        <v>18</v>
      </c>
      <c r="J340" s="10">
        <f t="shared" si="3"/>
        <v>0.5142528258</v>
      </c>
    </row>
    <row r="341" ht="14.25" customHeight="1">
      <c r="A341" s="11">
        <v>43981.0</v>
      </c>
      <c r="B341" s="12" t="s">
        <v>22</v>
      </c>
      <c r="C341" s="12">
        <v>246414.0</v>
      </c>
      <c r="D341" s="12">
        <v>2.45272455E7</v>
      </c>
      <c r="E341" s="8">
        <f t="array" ref="E341">INDEX('Лист2'!$C$2:$C$505, MATCH(A341&amp;B341, 'Лист2'!$A$2:$A$505&amp;'Лист2'!$B$2:$B$505, 0))</f>
        <v>59</v>
      </c>
      <c r="F341" s="8">
        <f t="array" ref="F341">INDEX('Лист2'!$D$2:$D$505, MATCH(A341&amp;B341, 'Лист2'!$A$2:$A$505&amp;'Лист2'!$B$2:$B$505, 0))</f>
        <v>15030</v>
      </c>
      <c r="G341" s="8">
        <f t="array" ref="G341">INDEX('Лист2'!$E$2:$E$505, MATCH(A341&amp;B341, 'Лист2'!$A$2:$A$505&amp;'Лист2'!$B$2:$B$505, 0))</f>
        <v>13956</v>
      </c>
      <c r="H341" s="9">
        <f t="shared" si="1"/>
        <v>4176.508475</v>
      </c>
      <c r="I341" s="9">
        <f t="shared" si="2"/>
        <v>22</v>
      </c>
      <c r="J341" s="10">
        <f t="shared" si="3"/>
        <v>0.4942658205</v>
      </c>
    </row>
    <row r="342" ht="14.25" customHeight="1">
      <c r="A342" s="6">
        <v>43957.0</v>
      </c>
      <c r="B342" s="7" t="s">
        <v>23</v>
      </c>
      <c r="C342" s="7">
        <v>216498.0</v>
      </c>
      <c r="D342" s="7">
        <v>2.21264445E7</v>
      </c>
      <c r="E342" s="8">
        <f t="array" ref="E342">INDEX('Лист2'!$C$2:$C$505, MATCH(A342&amp;B342, 'Лист2'!$A$2:$A$505&amp;'Лист2'!$B$2:$B$505, 0))</f>
        <v>54</v>
      </c>
      <c r="F342" s="8">
        <f t="array" ref="F342">INDEX('Лист2'!$D$2:$D$505, MATCH(A342&amp;B342, 'Лист2'!$A$2:$A$505&amp;'Лист2'!$B$2:$B$505, 0))</f>
        <v>13406</v>
      </c>
      <c r="G342" s="8">
        <f t="array" ref="G342">INDEX('Лист2'!$E$2:$E$505, MATCH(A342&amp;B342, 'Лист2'!$A$2:$A$505&amp;'Лист2'!$B$2:$B$505, 0))</f>
        <v>12518</v>
      </c>
      <c r="H342" s="9">
        <f t="shared" si="1"/>
        <v>4009.222222</v>
      </c>
      <c r="I342" s="9">
        <f t="shared" si="2"/>
        <v>19</v>
      </c>
      <c r="J342" s="10">
        <f t="shared" si="3"/>
        <v>0.4458855865</v>
      </c>
    </row>
    <row r="343" ht="14.25" customHeight="1">
      <c r="A343" s="11">
        <v>43974.0</v>
      </c>
      <c r="B343" s="12" t="s">
        <v>23</v>
      </c>
      <c r="C343" s="12">
        <v>275793.0</v>
      </c>
      <c r="D343" s="12">
        <v>2.6806626E7</v>
      </c>
      <c r="E343" s="8">
        <f t="array" ref="E343">INDEX('Лист2'!$C$2:$C$505, MATCH(A343&amp;B343, 'Лист2'!$A$2:$A$505&amp;'Лист2'!$B$2:$B$505, 0))</f>
        <v>54</v>
      </c>
      <c r="F343" s="8">
        <f t="array" ref="F343">INDEX('Лист2'!$D$2:$D$505, MATCH(A343&amp;B343, 'Лист2'!$A$2:$A$505&amp;'Лист2'!$B$2:$B$505, 0))</f>
        <v>16221</v>
      </c>
      <c r="G343" s="8">
        <f t="array" ref="G343">INDEX('Лист2'!$E$2:$E$505, MATCH(A343&amp;B343, 'Лист2'!$A$2:$A$505&amp;'Лист2'!$B$2:$B$505, 0))</f>
        <v>15065</v>
      </c>
      <c r="H343" s="9">
        <f t="shared" si="1"/>
        <v>5107.277778</v>
      </c>
      <c r="I343" s="9">
        <f t="shared" si="2"/>
        <v>21</v>
      </c>
      <c r="J343" s="10">
        <f t="shared" si="3"/>
        <v>0.5401992243</v>
      </c>
    </row>
    <row r="344" ht="14.25" customHeight="1">
      <c r="A344" s="6">
        <v>43979.0</v>
      </c>
      <c r="B344" s="7" t="s">
        <v>22</v>
      </c>
      <c r="C344" s="7">
        <v>199753.5</v>
      </c>
      <c r="D344" s="7">
        <v>2.05357335E7</v>
      </c>
      <c r="E344" s="8">
        <f t="array" ref="E344">INDEX('Лист2'!$C$2:$C$505, MATCH(A344&amp;B344, 'Лист2'!$A$2:$A$505&amp;'Лист2'!$B$2:$B$505, 0))</f>
        <v>60</v>
      </c>
      <c r="F344" s="8">
        <f t="array" ref="F344">INDEX('Лист2'!$D$2:$D$505, MATCH(A344&amp;B344, 'Лист2'!$A$2:$A$505&amp;'Лист2'!$B$2:$B$505, 0))</f>
        <v>12854</v>
      </c>
      <c r="G344" s="8">
        <f t="array" ref="G344">INDEX('Лист2'!$E$2:$E$505, MATCH(A344&amp;B344, 'Лист2'!$A$2:$A$505&amp;'Лист2'!$B$2:$B$505, 0))</f>
        <v>11954</v>
      </c>
      <c r="H344" s="9">
        <f t="shared" si="1"/>
        <v>3329.225</v>
      </c>
      <c r="I344" s="9">
        <f t="shared" si="2"/>
        <v>22</v>
      </c>
      <c r="J344" s="10">
        <f t="shared" si="3"/>
        <v>0.4138300474</v>
      </c>
    </row>
    <row r="345" ht="14.25" customHeight="1">
      <c r="A345" s="11">
        <v>43976.0</v>
      </c>
      <c r="B345" s="12" t="s">
        <v>23</v>
      </c>
      <c r="C345" s="12">
        <v>192948.0</v>
      </c>
      <c r="D345" s="12">
        <v>1.9806927E7</v>
      </c>
      <c r="E345" s="8">
        <f t="array" ref="E345">INDEX('Лист2'!$C$2:$C$505, MATCH(A345&amp;B345, 'Лист2'!$A$2:$A$505&amp;'Лист2'!$B$2:$B$505, 0))</f>
        <v>54</v>
      </c>
      <c r="F345" s="8">
        <f t="array" ref="F345">INDEX('Лист2'!$D$2:$D$505, MATCH(A345&amp;B345, 'Лист2'!$A$2:$A$505&amp;'Лист2'!$B$2:$B$505, 0))</f>
        <v>12336</v>
      </c>
      <c r="G345" s="8">
        <f t="array" ref="G345">INDEX('Лист2'!$E$2:$E$505, MATCH(A345&amp;B345, 'Лист2'!$A$2:$A$505&amp;'Лист2'!$B$2:$B$505, 0))</f>
        <v>11519</v>
      </c>
      <c r="H345" s="9">
        <f t="shared" si="1"/>
        <v>3573.111111</v>
      </c>
      <c r="I345" s="9">
        <f t="shared" si="2"/>
        <v>22</v>
      </c>
      <c r="J345" s="10">
        <f t="shared" si="3"/>
        <v>0.3991433537</v>
      </c>
    </row>
    <row r="346" ht="14.25" customHeight="1">
      <c r="A346" s="6">
        <v>43951.0</v>
      </c>
      <c r="B346" s="7" t="s">
        <v>23</v>
      </c>
      <c r="C346" s="7">
        <v>206038.5</v>
      </c>
      <c r="D346" s="7">
        <v>2.174046E7</v>
      </c>
      <c r="E346" s="8">
        <f t="array" ref="E346">INDEX('Лист2'!$C$2:$C$505, MATCH(A346&amp;B346, 'Лист2'!$A$2:$A$505&amp;'Лист2'!$B$2:$B$505, 0))</f>
        <v>54</v>
      </c>
      <c r="F346" s="8">
        <f t="array" ref="F346">INDEX('Лист2'!$D$2:$D$505, MATCH(A346&amp;B346, 'Лист2'!$A$2:$A$505&amp;'Лист2'!$B$2:$B$505, 0))</f>
        <v>12817</v>
      </c>
      <c r="G346" s="8">
        <f t="array" ref="G346">INDEX('Лист2'!$E$2:$E$505, MATCH(A346&amp;B346, 'Лист2'!$A$2:$A$505&amp;'Лист2'!$B$2:$B$505, 0))</f>
        <v>11865</v>
      </c>
      <c r="H346" s="9">
        <f t="shared" si="1"/>
        <v>3815.527778</v>
      </c>
      <c r="I346" s="9">
        <f t="shared" si="2"/>
        <v>18</v>
      </c>
      <c r="J346" s="10">
        <f t="shared" si="3"/>
        <v>0.4381073407</v>
      </c>
    </row>
    <row r="347" ht="14.25" customHeight="1">
      <c r="A347" s="11">
        <v>43961.0</v>
      </c>
      <c r="B347" s="12" t="s">
        <v>23</v>
      </c>
      <c r="C347" s="12">
        <v>231559.5</v>
      </c>
      <c r="D347" s="12">
        <v>2.3443725E7</v>
      </c>
      <c r="E347" s="8">
        <f t="array" ref="E347">INDEX('Лист2'!$C$2:$C$505, MATCH(A347&amp;B347, 'Лист2'!$A$2:$A$505&amp;'Лист2'!$B$2:$B$505, 0))</f>
        <v>54</v>
      </c>
      <c r="F347" s="8">
        <f t="array" ref="F347">INDEX('Лист2'!$D$2:$D$505, MATCH(A347&amp;B347, 'Лист2'!$A$2:$A$505&amp;'Лист2'!$B$2:$B$505, 0))</f>
        <v>13832</v>
      </c>
      <c r="G347" s="8">
        <f t="array" ref="G347">INDEX('Лист2'!$E$2:$E$505, MATCH(A347&amp;B347, 'Лист2'!$A$2:$A$505&amp;'Лист2'!$B$2:$B$505, 0))</f>
        <v>12864</v>
      </c>
      <c r="H347" s="9">
        <f t="shared" si="1"/>
        <v>4288.138889</v>
      </c>
      <c r="I347" s="9">
        <f t="shared" si="2"/>
        <v>19</v>
      </c>
      <c r="J347" s="10">
        <f t="shared" si="3"/>
        <v>0.4724310348</v>
      </c>
    </row>
    <row r="348" ht="14.25" customHeight="1">
      <c r="A348" s="6">
        <v>43959.0</v>
      </c>
      <c r="B348" s="7" t="s">
        <v>23</v>
      </c>
      <c r="C348" s="7">
        <v>225076.5</v>
      </c>
      <c r="D348" s="7">
        <v>2.28460785E7</v>
      </c>
      <c r="E348" s="8">
        <f t="array" ref="E348">INDEX('Лист2'!$C$2:$C$505, MATCH(A348&amp;B348, 'Лист2'!$A$2:$A$505&amp;'Лист2'!$B$2:$B$505, 0))</f>
        <v>54</v>
      </c>
      <c r="F348" s="8">
        <f t="array" ref="F348">INDEX('Лист2'!$D$2:$D$505, MATCH(A348&amp;B348, 'Лист2'!$A$2:$A$505&amp;'Лист2'!$B$2:$B$505, 0))</f>
        <v>13563</v>
      </c>
      <c r="G348" s="8">
        <f t="array" ref="G348">INDEX('Лист2'!$E$2:$E$505, MATCH(A348&amp;B348, 'Лист2'!$A$2:$A$505&amp;'Лист2'!$B$2:$B$505, 0))</f>
        <v>12604</v>
      </c>
      <c r="H348" s="9">
        <f t="shared" si="1"/>
        <v>4168.083333</v>
      </c>
      <c r="I348" s="9">
        <f t="shared" si="2"/>
        <v>19</v>
      </c>
      <c r="J348" s="10">
        <f t="shared" si="3"/>
        <v>0.4603874387</v>
      </c>
    </row>
    <row r="349" ht="14.25" customHeight="1">
      <c r="A349" s="11">
        <v>43958.0</v>
      </c>
      <c r="B349" s="12" t="s">
        <v>23</v>
      </c>
      <c r="C349" s="12">
        <v>209415.0</v>
      </c>
      <c r="D349" s="12">
        <v>2.1463023E7</v>
      </c>
      <c r="E349" s="8">
        <f t="array" ref="E349">INDEX('Лист2'!$C$2:$C$505, MATCH(A349&amp;B349, 'Лист2'!$A$2:$A$505&amp;'Лист2'!$B$2:$B$505, 0))</f>
        <v>54</v>
      </c>
      <c r="F349" s="8">
        <f t="array" ref="F349">INDEX('Лист2'!$D$2:$D$505, MATCH(A349&amp;B349, 'Лист2'!$A$2:$A$505&amp;'Лист2'!$B$2:$B$505, 0))</f>
        <v>12743</v>
      </c>
      <c r="G349" s="8">
        <f t="array" ref="G349">INDEX('Лист2'!$E$2:$E$505, MATCH(A349&amp;B349, 'Лист2'!$A$2:$A$505&amp;'Лист2'!$B$2:$B$505, 0))</f>
        <v>11858</v>
      </c>
      <c r="H349" s="9">
        <f t="shared" si="1"/>
        <v>3878.055556</v>
      </c>
      <c r="I349" s="9">
        <f t="shared" si="2"/>
        <v>19</v>
      </c>
      <c r="J349" s="10">
        <f t="shared" si="3"/>
        <v>0.432516512</v>
      </c>
    </row>
    <row r="350" ht="14.25" customHeight="1">
      <c r="A350" s="6">
        <v>43975.0</v>
      </c>
      <c r="B350" s="7" t="s">
        <v>23</v>
      </c>
      <c r="C350" s="7">
        <v>193719.0</v>
      </c>
      <c r="D350" s="7">
        <v>1.9071117E7</v>
      </c>
      <c r="E350" s="8">
        <f t="array" ref="E350">INDEX('Лист2'!$C$2:$C$505, MATCH(A350&amp;B350, 'Лист2'!$A$2:$A$505&amp;'Лист2'!$B$2:$B$505, 0))</f>
        <v>54</v>
      </c>
      <c r="F350" s="8">
        <f t="array" ref="F350">INDEX('Лист2'!$D$2:$D$505, MATCH(A350&amp;B350, 'Лист2'!$A$2:$A$505&amp;'Лист2'!$B$2:$B$505, 0))</f>
        <v>12211</v>
      </c>
      <c r="G350" s="8">
        <f t="array" ref="G350">INDEX('Лист2'!$E$2:$E$505, MATCH(A350&amp;B350, 'Лист2'!$A$2:$A$505&amp;'Лист2'!$B$2:$B$505, 0))</f>
        <v>11427</v>
      </c>
      <c r="H350" s="9">
        <f t="shared" si="1"/>
        <v>3587.388889</v>
      </c>
      <c r="I350" s="9">
        <f t="shared" si="2"/>
        <v>21</v>
      </c>
      <c r="J350" s="10">
        <f t="shared" si="3"/>
        <v>0.3843155275</v>
      </c>
    </row>
    <row r="351" ht="14.25" customHeight="1">
      <c r="A351" s="11">
        <v>43950.0</v>
      </c>
      <c r="B351" s="12" t="s">
        <v>24</v>
      </c>
      <c r="C351" s="12">
        <v>12250.5</v>
      </c>
      <c r="D351" s="12">
        <v>981519.0</v>
      </c>
      <c r="E351" s="8">
        <f t="array" ref="E351">INDEX('Лист2'!$C$2:$C$505, MATCH(A351&amp;B351, 'Лист2'!$A$2:$A$505&amp;'Лист2'!$B$2:$B$505, 0))</f>
        <v>15</v>
      </c>
      <c r="F351" s="8">
        <f t="array" ref="F351">INDEX('Лист2'!$D$2:$D$505, MATCH(A351&amp;B351, 'Лист2'!$A$2:$A$505&amp;'Лист2'!$B$2:$B$505, 0))</f>
        <v>659</v>
      </c>
      <c r="G351" s="8">
        <f t="array" ref="G351">INDEX('Лист2'!$E$2:$E$505, MATCH(A351&amp;B351, 'Лист2'!$A$2:$A$505&amp;'Лист2'!$B$2:$B$505, 0))</f>
        <v>575</v>
      </c>
      <c r="H351" s="9">
        <f t="shared" si="1"/>
        <v>816.7</v>
      </c>
      <c r="I351" s="9">
        <f t="shared" si="2"/>
        <v>18</v>
      </c>
      <c r="J351" s="10">
        <f t="shared" si="3"/>
        <v>0.01977928153</v>
      </c>
    </row>
    <row r="352" ht="14.25" customHeight="1">
      <c r="A352" s="6">
        <v>43949.0</v>
      </c>
      <c r="B352" s="7" t="s">
        <v>24</v>
      </c>
      <c r="C352" s="7">
        <v>12541.5</v>
      </c>
      <c r="D352" s="7">
        <v>992541.0</v>
      </c>
      <c r="E352" s="8">
        <f t="array" ref="E352">INDEX('Лист2'!$C$2:$C$505, MATCH(A352&amp;B352, 'Лист2'!$A$2:$A$505&amp;'Лист2'!$B$2:$B$505, 0))</f>
        <v>15</v>
      </c>
      <c r="F352" s="8">
        <f t="array" ref="F352">INDEX('Лист2'!$D$2:$D$505, MATCH(A352&amp;B352, 'Лист2'!$A$2:$A$505&amp;'Лист2'!$B$2:$B$505, 0))</f>
        <v>636</v>
      </c>
      <c r="G352" s="8">
        <f t="array" ref="G352">INDEX('Лист2'!$E$2:$E$505, MATCH(A352&amp;B352, 'Лист2'!$A$2:$A$505&amp;'Лист2'!$B$2:$B$505, 0))</f>
        <v>547</v>
      </c>
      <c r="H352" s="9">
        <f t="shared" si="1"/>
        <v>836.1</v>
      </c>
      <c r="I352" s="9">
        <f t="shared" si="2"/>
        <v>18</v>
      </c>
      <c r="J352" s="10">
        <f t="shared" si="3"/>
        <v>0.02000139362</v>
      </c>
    </row>
    <row r="353" ht="14.25" customHeight="1">
      <c r="A353" s="11">
        <v>43982.0</v>
      </c>
      <c r="B353" s="12" t="s">
        <v>23</v>
      </c>
      <c r="C353" s="12">
        <v>206758.5</v>
      </c>
      <c r="D353" s="12">
        <v>2.07172485E7</v>
      </c>
      <c r="E353" s="8">
        <f t="array" ref="E353">INDEX('Лист2'!$C$2:$C$505, MATCH(A353&amp;B353, 'Лист2'!$A$2:$A$505&amp;'Лист2'!$B$2:$B$505, 0))</f>
        <v>54</v>
      </c>
      <c r="F353" s="8">
        <f t="array" ref="F353">INDEX('Лист2'!$D$2:$D$505, MATCH(A353&amp;B353, 'Лист2'!$A$2:$A$505&amp;'Лист2'!$B$2:$B$505, 0))</f>
        <v>13106</v>
      </c>
      <c r="G353" s="8">
        <f t="array" ref="G353">INDEX('Лист2'!$E$2:$E$505, MATCH(A353&amp;B353, 'Лист2'!$A$2:$A$505&amp;'Лист2'!$B$2:$B$505, 0))</f>
        <v>12164</v>
      </c>
      <c r="H353" s="9">
        <f t="shared" si="1"/>
        <v>3828.861111</v>
      </c>
      <c r="I353" s="9">
        <f t="shared" si="2"/>
        <v>22</v>
      </c>
      <c r="J353" s="10">
        <f t="shared" si="3"/>
        <v>0.4174878842</v>
      </c>
    </row>
    <row r="354" ht="14.25" customHeight="1">
      <c r="A354" s="6">
        <v>43981.0</v>
      </c>
      <c r="B354" s="7" t="s">
        <v>23</v>
      </c>
      <c r="C354" s="7">
        <v>244734.0</v>
      </c>
      <c r="D354" s="7">
        <v>2.415198E7</v>
      </c>
      <c r="E354" s="8">
        <f t="array" ref="E354">INDEX('Лист2'!$C$2:$C$505, MATCH(A354&amp;B354, 'Лист2'!$A$2:$A$505&amp;'Лист2'!$B$2:$B$505, 0))</f>
        <v>54</v>
      </c>
      <c r="F354" s="8">
        <f t="array" ref="F354">INDEX('Лист2'!$D$2:$D$505, MATCH(A354&amp;B354, 'Лист2'!$A$2:$A$505&amp;'Лист2'!$B$2:$B$505, 0))</f>
        <v>14590</v>
      </c>
      <c r="G354" s="8">
        <f t="array" ref="G354">INDEX('Лист2'!$E$2:$E$505, MATCH(A354&amp;B354, 'Лист2'!$A$2:$A$505&amp;'Лист2'!$B$2:$B$505, 0))</f>
        <v>13551</v>
      </c>
      <c r="H354" s="9">
        <f t="shared" si="1"/>
        <v>4532.111111</v>
      </c>
      <c r="I354" s="9">
        <f t="shared" si="2"/>
        <v>22</v>
      </c>
      <c r="J354" s="10">
        <f t="shared" si="3"/>
        <v>0.4867035808</v>
      </c>
    </row>
    <row r="355" ht="14.25" customHeight="1">
      <c r="A355" s="11">
        <v>43979.0</v>
      </c>
      <c r="B355" s="12" t="s">
        <v>23</v>
      </c>
      <c r="C355" s="12">
        <v>191641.5</v>
      </c>
      <c r="D355" s="12">
        <v>1.95490365E7</v>
      </c>
      <c r="E355" s="8">
        <f t="array" ref="E355">INDEX('Лист2'!$C$2:$C$505, MATCH(A355&amp;B355, 'Лист2'!$A$2:$A$505&amp;'Лист2'!$B$2:$B$505, 0))</f>
        <v>54</v>
      </c>
      <c r="F355" s="8">
        <f t="array" ref="F355">INDEX('Лист2'!$D$2:$D$505, MATCH(A355&amp;B355, 'Лист2'!$A$2:$A$505&amp;'Лист2'!$B$2:$B$505, 0))</f>
        <v>12409</v>
      </c>
      <c r="G355" s="8">
        <f t="array" ref="G355">INDEX('Лист2'!$E$2:$E$505, MATCH(A355&amp;B355, 'Лист2'!$A$2:$A$505&amp;'Лист2'!$B$2:$B$505, 0))</f>
        <v>11582</v>
      </c>
      <c r="H355" s="9">
        <f t="shared" si="1"/>
        <v>3548.916667</v>
      </c>
      <c r="I355" s="9">
        <f t="shared" si="2"/>
        <v>22</v>
      </c>
      <c r="J355" s="10">
        <f t="shared" si="3"/>
        <v>0.3939464203</v>
      </c>
    </row>
    <row r="356" ht="14.25" customHeight="1">
      <c r="A356" s="6">
        <v>43967.0</v>
      </c>
      <c r="B356" s="7" t="s">
        <v>24</v>
      </c>
      <c r="C356" s="7">
        <v>16368.0</v>
      </c>
      <c r="D356" s="7">
        <v>1316350.5</v>
      </c>
      <c r="E356" s="8">
        <f t="array" ref="E356">INDEX('Лист2'!$C$2:$C$505, MATCH(A356&amp;B356, 'Лист2'!$A$2:$A$505&amp;'Лист2'!$B$2:$B$505, 0))</f>
        <v>16</v>
      </c>
      <c r="F356" s="8">
        <f t="array" ref="F356">INDEX('Лист2'!$D$2:$D$505, MATCH(A356&amp;B356, 'Лист2'!$A$2:$A$505&amp;'Лист2'!$B$2:$B$505, 0))</f>
        <v>920</v>
      </c>
      <c r="G356" s="8">
        <f t="array" ref="G356">INDEX('Лист2'!$E$2:$E$505, MATCH(A356&amp;B356, 'Лист2'!$A$2:$A$505&amp;'Лист2'!$B$2:$B$505, 0))</f>
        <v>818</v>
      </c>
      <c r="H356" s="9">
        <f t="shared" si="1"/>
        <v>1023</v>
      </c>
      <c r="I356" s="9">
        <f t="shared" si="2"/>
        <v>20</v>
      </c>
      <c r="J356" s="10">
        <f t="shared" si="3"/>
        <v>0.02652670721</v>
      </c>
    </row>
    <row r="357" ht="14.25" customHeight="1">
      <c r="A357" s="11">
        <v>43970.0</v>
      </c>
      <c r="B357" s="12" t="s">
        <v>24</v>
      </c>
      <c r="C357" s="12">
        <v>14427.0</v>
      </c>
      <c r="D357" s="12">
        <v>1126810.5</v>
      </c>
      <c r="E357" s="8">
        <f t="array" ref="E357">INDEX('Лист2'!$C$2:$C$505, MATCH(A357&amp;B357, 'Лист2'!$A$2:$A$505&amp;'Лист2'!$B$2:$B$505, 0))</f>
        <v>17</v>
      </c>
      <c r="F357" s="8">
        <f t="array" ref="F357">INDEX('Лист2'!$D$2:$D$505, MATCH(A357&amp;B357, 'Лист2'!$A$2:$A$505&amp;'Лист2'!$B$2:$B$505, 0))</f>
        <v>857</v>
      </c>
      <c r="G357" s="8">
        <f t="array" ref="G357">INDEX('Лист2'!$E$2:$E$505, MATCH(A357&amp;B357, 'Лист2'!$A$2:$A$505&amp;'Лист2'!$B$2:$B$505, 0))</f>
        <v>757</v>
      </c>
      <c r="H357" s="9">
        <f t="shared" si="1"/>
        <v>848.6470588</v>
      </c>
      <c r="I357" s="9">
        <f t="shared" si="2"/>
        <v>21</v>
      </c>
      <c r="J357" s="10">
        <f t="shared" si="3"/>
        <v>0.022707153</v>
      </c>
    </row>
    <row r="358" ht="14.25" customHeight="1">
      <c r="A358" s="6">
        <v>43968.0</v>
      </c>
      <c r="B358" s="7" t="s">
        <v>24</v>
      </c>
      <c r="C358" s="7">
        <v>13440.0</v>
      </c>
      <c r="D358" s="7">
        <v>1157529.0</v>
      </c>
      <c r="E358" s="8">
        <f t="array" ref="E358">INDEX('Лист2'!$C$2:$C$505, MATCH(A358&amp;B358, 'Лист2'!$A$2:$A$505&amp;'Лист2'!$B$2:$B$505, 0))</f>
        <v>16</v>
      </c>
      <c r="F358" s="8">
        <f t="array" ref="F358">INDEX('Лист2'!$D$2:$D$505, MATCH(A358&amp;B358, 'Лист2'!$A$2:$A$505&amp;'Лист2'!$B$2:$B$505, 0))</f>
        <v>859</v>
      </c>
      <c r="G358" s="8">
        <f t="array" ref="G358">INDEX('Лист2'!$E$2:$E$505, MATCH(A358&amp;B358, 'Лист2'!$A$2:$A$505&amp;'Лист2'!$B$2:$B$505, 0))</f>
        <v>746</v>
      </c>
      <c r="H358" s="9">
        <f t="shared" si="1"/>
        <v>840</v>
      </c>
      <c r="I358" s="9">
        <f t="shared" si="2"/>
        <v>20</v>
      </c>
      <c r="J358" s="10">
        <f t="shared" si="3"/>
        <v>0.02332618316</v>
      </c>
    </row>
    <row r="359" ht="14.25" customHeight="1">
      <c r="A359" s="11">
        <v>43960.0</v>
      </c>
      <c r="B359" s="12" t="s">
        <v>24</v>
      </c>
      <c r="C359" s="12">
        <v>11745.0</v>
      </c>
      <c r="D359" s="12">
        <v>955801.5</v>
      </c>
      <c r="E359" s="8">
        <f t="array" ref="E359">INDEX('Лист2'!$C$2:$C$505, MATCH(A359&amp;B359, 'Лист2'!$A$2:$A$505&amp;'Лист2'!$B$2:$B$505, 0))</f>
        <v>15</v>
      </c>
      <c r="F359" s="8">
        <f t="array" ref="F359">INDEX('Лист2'!$D$2:$D$505, MATCH(A359&amp;B359, 'Лист2'!$A$2:$A$505&amp;'Лист2'!$B$2:$B$505, 0))</f>
        <v>654</v>
      </c>
      <c r="G359" s="8">
        <f t="array" ref="G359">INDEX('Лист2'!$E$2:$E$505, MATCH(A359&amp;B359, 'Лист2'!$A$2:$A$505&amp;'Лист2'!$B$2:$B$505, 0))</f>
        <v>570</v>
      </c>
      <c r="H359" s="9">
        <f t="shared" si="1"/>
        <v>783</v>
      </c>
      <c r="I359" s="9">
        <f t="shared" si="2"/>
        <v>19</v>
      </c>
      <c r="J359" s="10">
        <f t="shared" si="3"/>
        <v>0.01926103005</v>
      </c>
    </row>
    <row r="360" ht="14.25" customHeight="1">
      <c r="A360" s="6">
        <v>43955.0</v>
      </c>
      <c r="B360" s="7" t="s">
        <v>24</v>
      </c>
      <c r="C360" s="7">
        <v>11062.5</v>
      </c>
      <c r="D360" s="7">
        <v>906343.5</v>
      </c>
      <c r="E360" s="8">
        <f t="array" ref="E360">INDEX('Лист2'!$C$2:$C$505, MATCH(A360&amp;B360, 'Лист2'!$A$2:$A$505&amp;'Лист2'!$B$2:$B$505, 0))</f>
        <v>15</v>
      </c>
      <c r="F360" s="8">
        <f t="array" ref="F360">INDEX('Лист2'!$D$2:$D$505, MATCH(A360&amp;B360, 'Лист2'!$A$2:$A$505&amp;'Лист2'!$B$2:$B$505, 0))</f>
        <v>622</v>
      </c>
      <c r="G360" s="8">
        <f t="array" ref="G360">INDEX('Лист2'!$E$2:$E$505, MATCH(A360&amp;B360, 'Лист2'!$A$2:$A$505&amp;'Лист2'!$B$2:$B$505, 0))</f>
        <v>538</v>
      </c>
      <c r="H360" s="9">
        <f t="shared" si="1"/>
        <v>737.5</v>
      </c>
      <c r="I360" s="9">
        <f t="shared" si="2"/>
        <v>19</v>
      </c>
      <c r="J360" s="10">
        <f t="shared" si="3"/>
        <v>0.01826436701</v>
      </c>
    </row>
    <row r="361" ht="14.25" customHeight="1">
      <c r="A361" s="11">
        <v>43953.0</v>
      </c>
      <c r="B361" s="12" t="s">
        <v>24</v>
      </c>
      <c r="C361" s="12">
        <v>10018.5</v>
      </c>
      <c r="D361" s="12">
        <v>816859.5</v>
      </c>
      <c r="E361" s="8">
        <f t="array" ref="E361">INDEX('Лист2'!$C$2:$C$505, MATCH(A361&amp;B361, 'Лист2'!$A$2:$A$505&amp;'Лист2'!$B$2:$B$505, 0))</f>
        <v>15</v>
      </c>
      <c r="F361" s="8">
        <f t="array" ref="F361">INDEX('Лист2'!$D$2:$D$505, MATCH(A361&amp;B361, 'Лист2'!$A$2:$A$505&amp;'Лист2'!$B$2:$B$505, 0))</f>
        <v>567</v>
      </c>
      <c r="G361" s="8">
        <f t="array" ref="G361">INDEX('Лист2'!$E$2:$E$505, MATCH(A361&amp;B361, 'Лист2'!$A$2:$A$505&amp;'Лист2'!$B$2:$B$505, 0))</f>
        <v>493</v>
      </c>
      <c r="H361" s="9">
        <f t="shared" si="1"/>
        <v>667.9</v>
      </c>
      <c r="I361" s="9">
        <f t="shared" si="2"/>
        <v>18</v>
      </c>
      <c r="J361" s="10">
        <f t="shared" si="3"/>
        <v>0.01646111183</v>
      </c>
    </row>
    <row r="362" ht="14.25" customHeight="1">
      <c r="A362" s="6">
        <v>43977.0</v>
      </c>
      <c r="B362" s="7" t="s">
        <v>25</v>
      </c>
      <c r="C362" s="7">
        <v>10437.0</v>
      </c>
      <c r="D362" s="7">
        <v>833815.5</v>
      </c>
      <c r="E362" s="8">
        <f t="array" ref="E362">INDEX('Лист2'!$C$2:$C$505, MATCH(A362&amp;B362, 'Лист2'!$A$2:$A$505&amp;'Лист2'!$B$2:$B$505, 0))</f>
        <v>7</v>
      </c>
      <c r="F362" s="8">
        <f t="array" ref="F362">INDEX('Лист2'!$D$2:$D$505, MATCH(A362&amp;B362, 'Лист2'!$A$2:$A$505&amp;'Лист2'!$B$2:$B$505, 0))</f>
        <v>577</v>
      </c>
      <c r="G362" s="8">
        <f t="array" ref="G362">INDEX('Лист2'!$E$2:$E$505, MATCH(A362&amp;B362, 'Лист2'!$A$2:$A$505&amp;'Лист2'!$B$2:$B$505, 0))</f>
        <v>389</v>
      </c>
      <c r="H362" s="9">
        <f t="shared" si="1"/>
        <v>1491</v>
      </c>
      <c r="I362" s="9">
        <f t="shared" si="2"/>
        <v>22</v>
      </c>
      <c r="J362" s="10">
        <f t="shared" si="3"/>
        <v>0.01680280414</v>
      </c>
    </row>
    <row r="363" ht="14.25" customHeight="1">
      <c r="A363" s="11">
        <v>43952.0</v>
      </c>
      <c r="B363" s="12" t="s">
        <v>24</v>
      </c>
      <c r="C363" s="12">
        <v>13644.0</v>
      </c>
      <c r="D363" s="12">
        <v>1134444.0</v>
      </c>
      <c r="E363" s="8">
        <f t="array" ref="E363">INDEX('Лист2'!$C$2:$C$505, MATCH(A363&amp;B363, 'Лист2'!$A$2:$A$505&amp;'Лист2'!$B$2:$B$505, 0))</f>
        <v>15</v>
      </c>
      <c r="F363" s="8">
        <f t="array" ref="F363">INDEX('Лист2'!$D$2:$D$505, MATCH(A363&amp;B363, 'Лист2'!$A$2:$A$505&amp;'Лист2'!$B$2:$B$505, 0))</f>
        <v>721</v>
      </c>
      <c r="G363" s="8">
        <f t="array" ref="G363">INDEX('Лист2'!$E$2:$E$505, MATCH(A363&amp;B363, 'Лист2'!$A$2:$A$505&amp;'Лист2'!$B$2:$B$505, 0))</f>
        <v>625</v>
      </c>
      <c r="H363" s="9">
        <f t="shared" si="1"/>
        <v>909.6</v>
      </c>
      <c r="I363" s="9">
        <f t="shared" si="2"/>
        <v>18</v>
      </c>
      <c r="J363" s="10">
        <f t="shared" si="3"/>
        <v>0.02286098105</v>
      </c>
    </row>
    <row r="364" ht="14.25" customHeight="1">
      <c r="A364" s="6">
        <v>43963.0</v>
      </c>
      <c r="B364" s="7" t="s">
        <v>24</v>
      </c>
      <c r="C364" s="7">
        <v>13443.0</v>
      </c>
      <c r="D364" s="7">
        <v>1092277.5</v>
      </c>
      <c r="E364" s="8">
        <f t="array" ref="E364">INDEX('Лист2'!$C$2:$C$505, MATCH(A364&amp;B364, 'Лист2'!$A$2:$A$505&amp;'Лист2'!$B$2:$B$505, 0))</f>
        <v>15</v>
      </c>
      <c r="F364" s="8">
        <f t="array" ref="F364">INDEX('Лист2'!$D$2:$D$505, MATCH(A364&amp;B364, 'Лист2'!$A$2:$A$505&amp;'Лист2'!$B$2:$B$505, 0))</f>
        <v>750</v>
      </c>
      <c r="G364" s="8">
        <f t="array" ref="G364">INDEX('Лист2'!$E$2:$E$505, MATCH(A364&amp;B364, 'Лист2'!$A$2:$A$505&amp;'Лист2'!$B$2:$B$505, 0))</f>
        <v>659</v>
      </c>
      <c r="H364" s="9">
        <f t="shared" si="1"/>
        <v>896.2</v>
      </c>
      <c r="I364" s="9">
        <f t="shared" si="2"/>
        <v>20</v>
      </c>
      <c r="J364" s="10">
        <f t="shared" si="3"/>
        <v>0.02201125417</v>
      </c>
    </row>
    <row r="365" ht="14.25" customHeight="1">
      <c r="A365" s="11">
        <v>43972.0</v>
      </c>
      <c r="B365" s="12" t="s">
        <v>24</v>
      </c>
      <c r="C365" s="12">
        <v>14182.5</v>
      </c>
      <c r="D365" s="12">
        <v>1172574.0</v>
      </c>
      <c r="E365" s="8">
        <f t="array" ref="E365">INDEX('Лист2'!$C$2:$C$505, MATCH(A365&amp;B365, 'Лист2'!$A$2:$A$505&amp;'Лист2'!$B$2:$B$505, 0))</f>
        <v>18</v>
      </c>
      <c r="F365" s="8">
        <f t="array" ref="F365">INDEX('Лист2'!$D$2:$D$505, MATCH(A365&amp;B365, 'Лист2'!$A$2:$A$505&amp;'Лист2'!$B$2:$B$505, 0))</f>
        <v>888</v>
      </c>
      <c r="G365" s="8">
        <f t="array" ref="G365">INDEX('Лист2'!$E$2:$E$505, MATCH(A365&amp;B365, 'Лист2'!$A$2:$A$505&amp;'Лист2'!$B$2:$B$505, 0))</f>
        <v>786</v>
      </c>
      <c r="H365" s="9">
        <f t="shared" si="1"/>
        <v>787.9166667</v>
      </c>
      <c r="I365" s="9">
        <f t="shared" si="2"/>
        <v>21</v>
      </c>
      <c r="J365" s="10">
        <f t="shared" si="3"/>
        <v>0.02362936556</v>
      </c>
    </row>
    <row r="366" ht="14.25" customHeight="1">
      <c r="A366" s="6">
        <v>43971.0</v>
      </c>
      <c r="B366" s="7" t="s">
        <v>24</v>
      </c>
      <c r="C366" s="7">
        <v>14928.0</v>
      </c>
      <c r="D366" s="7">
        <v>1217749.5</v>
      </c>
      <c r="E366" s="8">
        <f t="array" ref="E366">INDEX('Лист2'!$C$2:$C$505, MATCH(A366&amp;B366, 'Лист2'!$A$2:$A$505&amp;'Лист2'!$B$2:$B$505, 0))</f>
        <v>17</v>
      </c>
      <c r="F366" s="8">
        <f t="array" ref="F366">INDEX('Лист2'!$D$2:$D$505, MATCH(A366&amp;B366, 'Лист2'!$A$2:$A$505&amp;'Лист2'!$B$2:$B$505, 0))</f>
        <v>890</v>
      </c>
      <c r="G366" s="8">
        <f t="array" ref="G366">INDEX('Лист2'!$E$2:$E$505, MATCH(A366&amp;B366, 'Лист2'!$A$2:$A$505&amp;'Лист2'!$B$2:$B$505, 0))</f>
        <v>794</v>
      </c>
      <c r="H366" s="9">
        <f t="shared" si="1"/>
        <v>878.1176471</v>
      </c>
      <c r="I366" s="9">
        <f t="shared" si="2"/>
        <v>21</v>
      </c>
      <c r="J366" s="10">
        <f t="shared" si="3"/>
        <v>0.02453972892</v>
      </c>
    </row>
    <row r="367" ht="14.25" customHeight="1">
      <c r="A367" s="11">
        <v>43956.0</v>
      </c>
      <c r="B367" s="12" t="s">
        <v>24</v>
      </c>
      <c r="C367" s="12">
        <v>13941.0</v>
      </c>
      <c r="D367" s="12">
        <v>1145575.5</v>
      </c>
      <c r="E367" s="8">
        <f t="array" ref="E367">INDEX('Лист2'!$C$2:$C$505, MATCH(A367&amp;B367, 'Лист2'!$A$2:$A$505&amp;'Лист2'!$B$2:$B$505, 0))</f>
        <v>15</v>
      </c>
      <c r="F367" s="8">
        <f t="array" ref="F367">INDEX('Лист2'!$D$2:$D$505, MATCH(A367&amp;B367, 'Лист2'!$A$2:$A$505&amp;'Лист2'!$B$2:$B$505, 0))</f>
        <v>750</v>
      </c>
      <c r="G367" s="8">
        <f t="array" ref="G367">INDEX('Лист2'!$E$2:$E$505, MATCH(A367&amp;B367, 'Лист2'!$A$2:$A$505&amp;'Лист2'!$B$2:$B$505, 0))</f>
        <v>658</v>
      </c>
      <c r="H367" s="9">
        <f t="shared" si="1"/>
        <v>929.4</v>
      </c>
      <c r="I367" s="9">
        <f t="shared" si="2"/>
        <v>19</v>
      </c>
      <c r="J367" s="10">
        <f t="shared" si="3"/>
        <v>0.02308529975</v>
      </c>
    </row>
    <row r="368" ht="14.25" customHeight="1">
      <c r="A368" s="6">
        <v>43964.0</v>
      </c>
      <c r="B368" s="7" t="s">
        <v>24</v>
      </c>
      <c r="C368" s="7">
        <v>14643.0</v>
      </c>
      <c r="D368" s="7">
        <v>1172691.0</v>
      </c>
      <c r="E368" s="8">
        <f t="array" ref="E368">INDEX('Лист2'!$C$2:$C$505, MATCH(A368&amp;B368, 'Лист2'!$A$2:$A$505&amp;'Лист2'!$B$2:$B$505, 0))</f>
        <v>15</v>
      </c>
      <c r="F368" s="8">
        <f t="array" ref="F368">INDEX('Лист2'!$D$2:$D$505, MATCH(A368&amp;B368, 'Лист2'!$A$2:$A$505&amp;'Лист2'!$B$2:$B$505, 0))</f>
        <v>854</v>
      </c>
      <c r="G368" s="8">
        <f t="array" ref="G368">INDEX('Лист2'!$E$2:$E$505, MATCH(A368&amp;B368, 'Лист2'!$A$2:$A$505&amp;'Лист2'!$B$2:$B$505, 0))</f>
        <v>756</v>
      </c>
      <c r="H368" s="9">
        <f t="shared" si="1"/>
        <v>976.2</v>
      </c>
      <c r="I368" s="9">
        <f t="shared" si="2"/>
        <v>20</v>
      </c>
      <c r="J368" s="10">
        <f t="shared" si="3"/>
        <v>0.02363172331</v>
      </c>
    </row>
    <row r="369" ht="14.25" customHeight="1">
      <c r="A369" s="11">
        <v>43954.0</v>
      </c>
      <c r="B369" s="12" t="s">
        <v>24</v>
      </c>
      <c r="C369" s="12">
        <v>10032.0</v>
      </c>
      <c r="D369" s="12">
        <v>816150.0</v>
      </c>
      <c r="E369" s="8">
        <f t="array" ref="E369">INDEX('Лист2'!$C$2:$C$505, MATCH(A369&amp;B369, 'Лист2'!$A$2:$A$505&amp;'Лист2'!$B$2:$B$505, 0))</f>
        <v>15</v>
      </c>
      <c r="F369" s="8">
        <f t="array" ref="F369">INDEX('Лист2'!$D$2:$D$505, MATCH(A369&amp;B369, 'Лист2'!$A$2:$A$505&amp;'Лист2'!$B$2:$B$505, 0))</f>
        <v>585</v>
      </c>
      <c r="G369" s="8">
        <f t="array" ref="G369">INDEX('Лист2'!$E$2:$E$505, MATCH(A369&amp;B369, 'Лист2'!$A$2:$A$505&amp;'Лист2'!$B$2:$B$505, 0))</f>
        <v>502</v>
      </c>
      <c r="H369" s="9">
        <f t="shared" si="1"/>
        <v>668.8</v>
      </c>
      <c r="I369" s="9">
        <f t="shared" si="2"/>
        <v>18</v>
      </c>
      <c r="J369" s="10">
        <f t="shared" si="3"/>
        <v>0.01644681419</v>
      </c>
    </row>
    <row r="370" ht="14.25" customHeight="1">
      <c r="A370" s="6">
        <v>43957.0</v>
      </c>
      <c r="B370" s="7" t="s">
        <v>24</v>
      </c>
      <c r="C370" s="7">
        <v>12468.0</v>
      </c>
      <c r="D370" s="7">
        <v>1016566.5</v>
      </c>
      <c r="E370" s="8">
        <f t="array" ref="E370">INDEX('Лист2'!$C$2:$C$505, MATCH(A370&amp;B370, 'Лист2'!$A$2:$A$505&amp;'Лист2'!$B$2:$B$505, 0))</f>
        <v>15</v>
      </c>
      <c r="F370" s="8">
        <f t="array" ref="F370">INDEX('Лист2'!$D$2:$D$505, MATCH(A370&amp;B370, 'Лист2'!$A$2:$A$505&amp;'Лист2'!$B$2:$B$505, 0))</f>
        <v>701</v>
      </c>
      <c r="G370" s="8">
        <f t="array" ref="G370">INDEX('Лист2'!$E$2:$E$505, MATCH(A370&amp;B370, 'Лист2'!$A$2:$A$505&amp;'Лист2'!$B$2:$B$505, 0))</f>
        <v>611</v>
      </c>
      <c r="H370" s="9">
        <f t="shared" si="1"/>
        <v>831.2</v>
      </c>
      <c r="I370" s="9">
        <f t="shared" si="2"/>
        <v>19</v>
      </c>
      <c r="J370" s="10">
        <f t="shared" si="3"/>
        <v>0.02048554842</v>
      </c>
    </row>
    <row r="371" ht="14.25" customHeight="1">
      <c r="A371" s="11">
        <v>43974.0</v>
      </c>
      <c r="B371" s="12" t="s">
        <v>24</v>
      </c>
      <c r="C371" s="12">
        <v>17943.0</v>
      </c>
      <c r="D371" s="12">
        <v>1457391.0</v>
      </c>
      <c r="E371" s="8">
        <f t="array" ref="E371">INDEX('Лист2'!$C$2:$C$505, MATCH(A371&amp;B371, 'Лист2'!$A$2:$A$505&amp;'Лист2'!$B$2:$B$505, 0))</f>
        <v>18</v>
      </c>
      <c r="F371" s="8">
        <f t="array" ref="F371">INDEX('Лист2'!$D$2:$D$505, MATCH(A371&amp;B371, 'Лист2'!$A$2:$A$505&amp;'Лист2'!$B$2:$B$505, 0))</f>
        <v>1031</v>
      </c>
      <c r="G371" s="8">
        <f t="array" ref="G371">INDEX('Лист2'!$E$2:$E$505, MATCH(A371&amp;B371, 'Лист2'!$A$2:$A$505&amp;'Лист2'!$B$2:$B$505, 0))</f>
        <v>918</v>
      </c>
      <c r="H371" s="9">
        <f t="shared" si="1"/>
        <v>996.8333333</v>
      </c>
      <c r="I371" s="9">
        <f t="shared" si="2"/>
        <v>21</v>
      </c>
      <c r="J371" s="10">
        <f t="shared" si="3"/>
        <v>0.02936891378</v>
      </c>
    </row>
    <row r="372" ht="14.25" customHeight="1">
      <c r="A372" s="6">
        <v>43976.0</v>
      </c>
      <c r="B372" s="7" t="s">
        <v>24</v>
      </c>
      <c r="C372" s="7">
        <v>15807.0</v>
      </c>
      <c r="D372" s="7">
        <v>1326705.0</v>
      </c>
      <c r="E372" s="8">
        <f t="array" ref="E372">INDEX('Лист2'!$C$2:$C$505, MATCH(A372&amp;B372, 'Лист2'!$A$2:$A$505&amp;'Лист2'!$B$2:$B$505, 0))</f>
        <v>18</v>
      </c>
      <c r="F372" s="8">
        <f t="array" ref="F372">INDEX('Лист2'!$D$2:$D$505, MATCH(A372&amp;B372, 'Лист2'!$A$2:$A$505&amp;'Лист2'!$B$2:$B$505, 0))</f>
        <v>989</v>
      </c>
      <c r="G372" s="8">
        <f t="array" ref="G372">INDEX('Лист2'!$E$2:$E$505, MATCH(A372&amp;B372, 'Лист2'!$A$2:$A$505&amp;'Лист2'!$B$2:$B$505, 0))</f>
        <v>887</v>
      </c>
      <c r="H372" s="9">
        <f t="shared" si="1"/>
        <v>878.1666667</v>
      </c>
      <c r="I372" s="9">
        <f t="shared" si="2"/>
        <v>22</v>
      </c>
      <c r="J372" s="10">
        <f t="shared" si="3"/>
        <v>0.02673536804</v>
      </c>
    </row>
    <row r="373" ht="14.25" customHeight="1">
      <c r="A373" s="11">
        <v>43951.0</v>
      </c>
      <c r="B373" s="12" t="s">
        <v>24</v>
      </c>
      <c r="C373" s="12">
        <v>11976.0</v>
      </c>
      <c r="D373" s="12">
        <v>1004511.0</v>
      </c>
      <c r="E373" s="8">
        <f t="array" ref="E373">INDEX('Лист2'!$C$2:$C$505, MATCH(A373&amp;B373, 'Лист2'!$A$2:$A$505&amp;'Лист2'!$B$2:$B$505, 0))</f>
        <v>15</v>
      </c>
      <c r="F373" s="8">
        <f t="array" ref="F373">INDEX('Лист2'!$D$2:$D$505, MATCH(A373&amp;B373, 'Лист2'!$A$2:$A$505&amp;'Лист2'!$B$2:$B$505, 0))</f>
        <v>644</v>
      </c>
      <c r="G373" s="8">
        <f t="array" ref="G373">INDEX('Лист2'!$E$2:$E$505, MATCH(A373&amp;B373, 'Лист2'!$A$2:$A$505&amp;'Лист2'!$B$2:$B$505, 0))</f>
        <v>550</v>
      </c>
      <c r="H373" s="9">
        <f t="shared" si="1"/>
        <v>798.4</v>
      </c>
      <c r="I373" s="9">
        <f t="shared" si="2"/>
        <v>18</v>
      </c>
      <c r="J373" s="10">
        <f t="shared" si="3"/>
        <v>0.02024260953</v>
      </c>
    </row>
    <row r="374" ht="14.25" customHeight="1">
      <c r="A374" s="6">
        <v>43961.0</v>
      </c>
      <c r="B374" s="7" t="s">
        <v>24</v>
      </c>
      <c r="C374" s="7">
        <v>14566.5</v>
      </c>
      <c r="D374" s="7">
        <v>1216557.0</v>
      </c>
      <c r="E374" s="8">
        <f t="array" ref="E374">INDEX('Лист2'!$C$2:$C$505, MATCH(A374&amp;B374, 'Лист2'!$A$2:$A$505&amp;'Лист2'!$B$2:$B$505, 0))</f>
        <v>15</v>
      </c>
      <c r="F374" s="8">
        <f t="array" ref="F374">INDEX('Лист2'!$D$2:$D$505, MATCH(A374&amp;B374, 'Лист2'!$A$2:$A$505&amp;'Лист2'!$B$2:$B$505, 0))</f>
        <v>792</v>
      </c>
      <c r="G374" s="8">
        <f t="array" ref="G374">INDEX('Лист2'!$E$2:$E$505, MATCH(A374&amp;B374, 'Лист2'!$A$2:$A$505&amp;'Лист2'!$B$2:$B$505, 0))</f>
        <v>695</v>
      </c>
      <c r="H374" s="9">
        <f t="shared" si="1"/>
        <v>971.1</v>
      </c>
      <c r="I374" s="9">
        <f t="shared" si="2"/>
        <v>19</v>
      </c>
      <c r="J374" s="10">
        <f t="shared" si="3"/>
        <v>0.02451569801</v>
      </c>
    </row>
    <row r="375" ht="14.25" customHeight="1">
      <c r="A375" s="11">
        <v>43959.0</v>
      </c>
      <c r="B375" s="12" t="s">
        <v>24</v>
      </c>
      <c r="C375" s="12">
        <v>12976.5</v>
      </c>
      <c r="D375" s="12">
        <v>1046848.5</v>
      </c>
      <c r="E375" s="8">
        <f t="array" ref="E375">INDEX('Лист2'!$C$2:$C$505, MATCH(A375&amp;B375, 'Лист2'!$A$2:$A$505&amp;'Лист2'!$B$2:$B$505, 0))</f>
        <v>15</v>
      </c>
      <c r="F375" s="8">
        <f t="array" ref="F375">INDEX('Лист2'!$D$2:$D$505, MATCH(A375&amp;B375, 'Лист2'!$A$2:$A$505&amp;'Лист2'!$B$2:$B$505, 0))</f>
        <v>703</v>
      </c>
      <c r="G375" s="8">
        <f t="array" ref="G375">INDEX('Лист2'!$E$2:$E$505, MATCH(A375&amp;B375, 'Лист2'!$A$2:$A$505&amp;'Лист2'!$B$2:$B$505, 0))</f>
        <v>609</v>
      </c>
      <c r="H375" s="9">
        <f t="shared" si="1"/>
        <v>865.1</v>
      </c>
      <c r="I375" s="9">
        <f t="shared" si="2"/>
        <v>19</v>
      </c>
      <c r="J375" s="10">
        <f t="shared" si="3"/>
        <v>0.02109578235</v>
      </c>
    </row>
    <row r="376" ht="14.25" customHeight="1">
      <c r="A376" s="6">
        <v>43958.0</v>
      </c>
      <c r="B376" s="7" t="s">
        <v>24</v>
      </c>
      <c r="C376" s="7">
        <v>11719.5</v>
      </c>
      <c r="D376" s="7">
        <v>965880.0</v>
      </c>
      <c r="E376" s="8">
        <f t="array" ref="E376">INDEX('Лист2'!$C$2:$C$505, MATCH(A376&amp;B376, 'Лист2'!$A$2:$A$505&amp;'Лист2'!$B$2:$B$505, 0))</f>
        <v>15</v>
      </c>
      <c r="F376" s="8">
        <f t="array" ref="F376">INDEX('Лист2'!$D$2:$D$505, MATCH(A376&amp;B376, 'Лист2'!$A$2:$A$505&amp;'Лист2'!$B$2:$B$505, 0))</f>
        <v>676</v>
      </c>
      <c r="G376" s="8">
        <f t="array" ref="G376">INDEX('Лист2'!$E$2:$E$505, MATCH(A376&amp;B376, 'Лист2'!$A$2:$A$505&amp;'Лист2'!$B$2:$B$505, 0))</f>
        <v>591</v>
      </c>
      <c r="H376" s="9">
        <f t="shared" si="1"/>
        <v>781.3</v>
      </c>
      <c r="I376" s="9">
        <f t="shared" si="2"/>
        <v>19</v>
      </c>
      <c r="J376" s="10">
        <f t="shared" si="3"/>
        <v>0.01946412901</v>
      </c>
    </row>
    <row r="377" ht="14.25" customHeight="1">
      <c r="A377" s="11">
        <v>43975.0</v>
      </c>
      <c r="B377" s="12" t="s">
        <v>24</v>
      </c>
      <c r="C377" s="12">
        <v>17197.5</v>
      </c>
      <c r="D377" s="12">
        <v>1386262.5</v>
      </c>
      <c r="E377" s="8">
        <f t="array" ref="E377">INDEX('Лист2'!$C$2:$C$505, MATCH(A377&amp;B377, 'Лист2'!$A$2:$A$505&amp;'Лист2'!$B$2:$B$505, 0))</f>
        <v>18</v>
      </c>
      <c r="F377" s="8">
        <f t="array" ref="F377">INDEX('Лист2'!$D$2:$D$505, MATCH(A377&amp;B377, 'Лист2'!$A$2:$A$505&amp;'Лист2'!$B$2:$B$505, 0))</f>
        <v>1006</v>
      </c>
      <c r="G377" s="8">
        <f t="array" ref="G377">INDEX('Лист2'!$E$2:$E$505, MATCH(A377&amp;B377, 'Лист2'!$A$2:$A$505&amp;'Лист2'!$B$2:$B$505, 0))</f>
        <v>904</v>
      </c>
      <c r="H377" s="9">
        <f t="shared" si="1"/>
        <v>955.4166667</v>
      </c>
      <c r="I377" s="9">
        <f t="shared" si="2"/>
        <v>21</v>
      </c>
      <c r="J377" s="10">
        <f t="shared" si="3"/>
        <v>0.02793555322</v>
      </c>
    </row>
    <row r="378" ht="14.25" customHeight="1">
      <c r="A378" s="6">
        <v>43977.0</v>
      </c>
      <c r="B378" s="7" t="s">
        <v>24</v>
      </c>
      <c r="C378" s="7">
        <v>14419.5</v>
      </c>
      <c r="D378" s="7">
        <v>1210456.5</v>
      </c>
      <c r="E378" s="8">
        <f t="array" ref="E378">INDEX('Лист2'!$C$2:$C$505, MATCH(A378&amp;B378, 'Лист2'!$A$2:$A$505&amp;'Лист2'!$B$2:$B$505, 0))</f>
        <v>18</v>
      </c>
      <c r="F378" s="8">
        <f t="array" ref="F378">INDEX('Лист2'!$D$2:$D$505, MATCH(A378&amp;B378, 'Лист2'!$A$2:$A$505&amp;'Лист2'!$B$2:$B$505, 0))</f>
        <v>914</v>
      </c>
      <c r="G378" s="8">
        <f t="array" ref="G378">INDEX('Лист2'!$E$2:$E$505, MATCH(A378&amp;B378, 'Лист2'!$A$2:$A$505&amp;'Лист2'!$B$2:$B$505, 0))</f>
        <v>804</v>
      </c>
      <c r="H378" s="9">
        <f t="shared" si="1"/>
        <v>801.0833333</v>
      </c>
      <c r="I378" s="9">
        <f t="shared" si="2"/>
        <v>22</v>
      </c>
      <c r="J378" s="10">
        <f t="shared" si="3"/>
        <v>0.02439276254</v>
      </c>
    </row>
    <row r="379" ht="14.25" customHeight="1">
      <c r="A379" s="11">
        <v>43983.0</v>
      </c>
      <c r="B379" s="12" t="s">
        <v>10</v>
      </c>
      <c r="C379" s="12">
        <v>7816.5</v>
      </c>
      <c r="D379" s="12">
        <v>636345.0</v>
      </c>
      <c r="E379" s="8">
        <f t="array" ref="E379">INDEX('Лист2'!$C$2:$C$505, MATCH(A379&amp;B379, 'Лист2'!$A$2:$A$505&amp;'Лист2'!$B$2:$B$505, 0))</f>
        <v>15</v>
      </c>
      <c r="F379" s="8">
        <f t="array" ref="F379">INDEX('Лист2'!$D$2:$D$505, MATCH(A379&amp;B379, 'Лист2'!$A$2:$A$505&amp;'Лист2'!$B$2:$B$505, 0))</f>
        <v>453</v>
      </c>
      <c r="G379" s="8">
        <f t="array" ref="G379">INDEX('Лист2'!$E$2:$E$505, MATCH(A379&amp;B379, 'Лист2'!$A$2:$A$505&amp;'Лист2'!$B$2:$B$505, 0))</f>
        <v>370</v>
      </c>
      <c r="H379" s="9">
        <f t="shared" si="1"/>
        <v>521.1</v>
      </c>
      <c r="I379" s="9">
        <f t="shared" si="2"/>
        <v>23</v>
      </c>
      <c r="J379" s="10">
        <f t="shared" si="3"/>
        <v>0.01282343684</v>
      </c>
    </row>
    <row r="380" ht="14.25" customHeight="1">
      <c r="A380" s="6">
        <v>43982.0</v>
      </c>
      <c r="B380" s="7" t="s">
        <v>26</v>
      </c>
      <c r="C380" s="7">
        <v>6409.5</v>
      </c>
      <c r="D380" s="7">
        <v>493893.0</v>
      </c>
      <c r="E380" s="8">
        <f t="array" ref="E380">INDEX('Лист2'!$C$2:$C$505, MATCH(A380&amp;B380, 'Лист2'!$A$2:$A$505&amp;'Лист2'!$B$2:$B$505, 0))</f>
        <v>9</v>
      </c>
      <c r="F380" s="8">
        <f t="array" ref="F380">INDEX('Лист2'!$D$2:$D$505, MATCH(A380&amp;B380, 'Лист2'!$A$2:$A$505&amp;'Лист2'!$B$2:$B$505, 0))</f>
        <v>345</v>
      </c>
      <c r="G380" s="8">
        <f t="array" ref="G380">INDEX('Лист2'!$E$2:$E$505, MATCH(A380&amp;B380, 'Лист2'!$A$2:$A$505&amp;'Лист2'!$B$2:$B$505, 0))</f>
        <v>255</v>
      </c>
      <c r="H380" s="9">
        <f t="shared" si="1"/>
        <v>712.1666667</v>
      </c>
      <c r="I380" s="9">
        <f t="shared" si="2"/>
        <v>22</v>
      </c>
      <c r="J380" s="10">
        <f t="shared" si="3"/>
        <v>0.009952786132</v>
      </c>
    </row>
    <row r="381" ht="14.25" customHeight="1">
      <c r="A381" s="11">
        <v>43981.0</v>
      </c>
      <c r="B381" s="12" t="s">
        <v>25</v>
      </c>
      <c r="C381" s="12">
        <v>11220.0</v>
      </c>
      <c r="D381" s="12">
        <v>928675.5</v>
      </c>
      <c r="E381" s="8">
        <f t="array" ref="E381">INDEX('Лист2'!$C$2:$C$505, MATCH(A381&amp;B381, 'Лист2'!$A$2:$A$505&amp;'Лист2'!$B$2:$B$505, 0))</f>
        <v>7</v>
      </c>
      <c r="F381" s="8">
        <f t="array" ref="F381">INDEX('Лист2'!$D$2:$D$505, MATCH(A381&amp;B381, 'Лист2'!$A$2:$A$505&amp;'Лист2'!$B$2:$B$505, 0))</f>
        <v>532</v>
      </c>
      <c r="G381" s="8">
        <f t="array" ref="G381">INDEX('Лист2'!$E$2:$E$505, MATCH(A381&amp;B381, 'Лист2'!$A$2:$A$505&amp;'Лист2'!$B$2:$B$505, 0))</f>
        <v>449</v>
      </c>
      <c r="H381" s="9">
        <f t="shared" si="1"/>
        <v>1602.857143</v>
      </c>
      <c r="I381" s="9">
        <f t="shared" si="2"/>
        <v>22</v>
      </c>
      <c r="J381" s="10">
        <f t="shared" si="3"/>
        <v>0.0187143949</v>
      </c>
    </row>
    <row r="382" ht="14.25" customHeight="1">
      <c r="A382" s="6">
        <v>43980.0</v>
      </c>
      <c r="B382" s="7" t="s">
        <v>10</v>
      </c>
      <c r="C382" s="7">
        <v>8350.5</v>
      </c>
      <c r="D382" s="7">
        <v>651237.0</v>
      </c>
      <c r="E382" s="8">
        <f t="array" ref="E382">INDEX('Лист2'!$C$2:$C$505, MATCH(A382&amp;B382, 'Лист2'!$A$2:$A$505&amp;'Лист2'!$B$2:$B$505, 0))</f>
        <v>15</v>
      </c>
      <c r="F382" s="8">
        <f t="array" ref="F382">INDEX('Лист2'!$D$2:$D$505, MATCH(A382&amp;B382, 'Лист2'!$A$2:$A$505&amp;'Лист2'!$B$2:$B$505, 0))</f>
        <v>400</v>
      </c>
      <c r="G382" s="8">
        <f t="array" ref="G382">INDEX('Лист2'!$E$2:$E$505, MATCH(A382&amp;B382, 'Лист2'!$A$2:$A$505&amp;'Лист2'!$B$2:$B$505, 0))</f>
        <v>329</v>
      </c>
      <c r="H382" s="9">
        <f t="shared" si="1"/>
        <v>556.7</v>
      </c>
      <c r="I382" s="9">
        <f t="shared" si="2"/>
        <v>22</v>
      </c>
      <c r="J382" s="10">
        <f t="shared" si="3"/>
        <v>0.01312353603</v>
      </c>
    </row>
    <row r="383" ht="14.25" customHeight="1">
      <c r="A383" s="11">
        <v>43979.0</v>
      </c>
      <c r="B383" s="12" t="s">
        <v>25</v>
      </c>
      <c r="C383" s="12">
        <v>8428.5</v>
      </c>
      <c r="D383" s="12">
        <v>694669.5</v>
      </c>
      <c r="E383" s="8">
        <f t="array" ref="E383">INDEX('Лист2'!$C$2:$C$505, MATCH(A383&amp;B383, 'Лист2'!$A$2:$A$505&amp;'Лист2'!$B$2:$B$505, 0))</f>
        <v>7</v>
      </c>
      <c r="F383" s="8">
        <f t="array" ref="F383">INDEX('Лист2'!$D$2:$D$505, MATCH(A383&amp;B383, 'Лист2'!$A$2:$A$505&amp;'Лист2'!$B$2:$B$505, 0))</f>
        <v>420</v>
      </c>
      <c r="G383" s="8">
        <f t="array" ref="G383">INDEX('Лист2'!$E$2:$E$505, MATCH(A383&amp;B383, 'Лист2'!$A$2:$A$505&amp;'Лист2'!$B$2:$B$505, 0))</f>
        <v>347</v>
      </c>
      <c r="H383" s="9">
        <f t="shared" si="1"/>
        <v>1204.071429</v>
      </c>
      <c r="I383" s="9">
        <f t="shared" si="2"/>
        <v>22</v>
      </c>
      <c r="J383" s="10">
        <f t="shared" si="3"/>
        <v>0.01399877497</v>
      </c>
    </row>
    <row r="384" ht="14.25" customHeight="1">
      <c r="A384" s="6">
        <v>43978.0</v>
      </c>
      <c r="B384" s="7" t="s">
        <v>11</v>
      </c>
      <c r="C384" s="7">
        <v>32817.0</v>
      </c>
      <c r="D384" s="7">
        <v>3015751.5</v>
      </c>
      <c r="E384" s="8">
        <f t="array" ref="E384">INDEX('Лист2'!$C$2:$C$505, MATCH(A384&amp;B384, 'Лист2'!$A$2:$A$505&amp;'Лист2'!$B$2:$B$505, 0))</f>
        <v>20</v>
      </c>
      <c r="F384" s="8">
        <f t="array" ref="F384">INDEX('Лист2'!$D$2:$D$505, MATCH(A384&amp;B384, 'Лист2'!$A$2:$A$505&amp;'Лист2'!$B$2:$B$505, 0))</f>
        <v>2079</v>
      </c>
      <c r="G384" s="8">
        <f t="array" ref="G384">INDEX('Лист2'!$E$2:$E$505, MATCH(A384&amp;B384, 'Лист2'!$A$2:$A$505&amp;'Лист2'!$B$2:$B$505, 0))</f>
        <v>1893</v>
      </c>
      <c r="H384" s="9">
        <f t="shared" si="1"/>
        <v>1640.85</v>
      </c>
      <c r="I384" s="9">
        <f t="shared" si="2"/>
        <v>22</v>
      </c>
      <c r="J384" s="10">
        <f t="shared" si="3"/>
        <v>0.06077253516</v>
      </c>
    </row>
    <row r="385" ht="14.25" customHeight="1">
      <c r="A385" s="11">
        <v>43973.0</v>
      </c>
      <c r="B385" s="12" t="s">
        <v>11</v>
      </c>
      <c r="C385" s="12">
        <v>36031.5</v>
      </c>
      <c r="D385" s="12">
        <v>3091069.5</v>
      </c>
      <c r="E385" s="8">
        <f t="array" ref="E385">INDEX('Лист2'!$C$2:$C$505, MATCH(A385&amp;B385, 'Лист2'!$A$2:$A$505&amp;'Лист2'!$B$2:$B$505, 0))</f>
        <v>21</v>
      </c>
      <c r="F385" s="8">
        <f t="array" ref="F385">INDEX('Лист2'!$D$2:$D$505, MATCH(A385&amp;B385, 'Лист2'!$A$2:$A$505&amp;'Лист2'!$B$2:$B$505, 0))</f>
        <v>2046</v>
      </c>
      <c r="G385" s="8">
        <f t="array" ref="G385">INDEX('Лист2'!$E$2:$E$505, MATCH(A385&amp;B385, 'Лист2'!$A$2:$A$505&amp;'Лист2'!$B$2:$B$505, 0))</f>
        <v>1853</v>
      </c>
      <c r="H385" s="9">
        <f t="shared" si="1"/>
        <v>1715.785714</v>
      </c>
      <c r="I385" s="9">
        <f t="shared" si="2"/>
        <v>21</v>
      </c>
      <c r="J385" s="10">
        <f t="shared" si="3"/>
        <v>0.06229032129</v>
      </c>
    </row>
    <row r="386" ht="14.25" customHeight="1">
      <c r="A386" s="6">
        <v>43982.0</v>
      </c>
      <c r="B386" s="7" t="s">
        <v>27</v>
      </c>
      <c r="C386" s="7">
        <v>5127.0</v>
      </c>
      <c r="D386" s="7">
        <v>468835.5</v>
      </c>
      <c r="E386" s="8">
        <f t="array" ref="E386">INDEX('Лист2'!$C$2:$C$505, MATCH(A386&amp;B386, 'Лист2'!$A$2:$A$505&amp;'Лист2'!$B$2:$B$505, 0))</f>
        <v>6</v>
      </c>
      <c r="F386" s="8">
        <f t="array" ref="F386">INDEX('Лист2'!$D$2:$D$505, MATCH(A386&amp;B386, 'Лист2'!$A$2:$A$505&amp;'Лист2'!$B$2:$B$505, 0))</f>
        <v>261</v>
      </c>
      <c r="G386" s="8">
        <f t="array" ref="G386">INDEX('Лист2'!$E$2:$E$505, MATCH(A386&amp;B386, 'Лист2'!$A$2:$A$505&amp;'Лист2'!$B$2:$B$505, 0))</f>
        <v>188</v>
      </c>
      <c r="H386" s="9">
        <f t="shared" si="1"/>
        <v>854.5</v>
      </c>
      <c r="I386" s="9">
        <f t="shared" si="2"/>
        <v>22</v>
      </c>
      <c r="J386" s="10">
        <f t="shared" si="3"/>
        <v>0.00944783478</v>
      </c>
    </row>
    <row r="387" ht="14.25" customHeight="1">
      <c r="A387" s="11">
        <v>43962.0</v>
      </c>
      <c r="B387" s="12" t="s">
        <v>11</v>
      </c>
      <c r="C387" s="12">
        <v>27187.5</v>
      </c>
      <c r="D387" s="12">
        <v>2479396.5</v>
      </c>
      <c r="E387" s="8">
        <f t="array" ref="E387">INDEX('Лист2'!$C$2:$C$505, MATCH(A387&amp;B387, 'Лист2'!$A$2:$A$505&amp;'Лист2'!$B$2:$B$505, 0))</f>
        <v>21</v>
      </c>
      <c r="F387" s="8">
        <f t="array" ref="F387">INDEX('Лист2'!$D$2:$D$505, MATCH(A387&amp;B387, 'Лист2'!$A$2:$A$505&amp;'Лист2'!$B$2:$B$505, 0))</f>
        <v>1597</v>
      </c>
      <c r="G387" s="8">
        <f t="array" ref="G387">INDEX('Лист2'!$E$2:$E$505, MATCH(A387&amp;B387, 'Лист2'!$A$2:$A$505&amp;'Лист2'!$B$2:$B$505, 0))</f>
        <v>1457</v>
      </c>
      <c r="H387" s="9">
        <f t="shared" si="1"/>
        <v>1294.642857</v>
      </c>
      <c r="I387" s="9">
        <f t="shared" si="2"/>
        <v>20</v>
      </c>
      <c r="J387" s="10">
        <f t="shared" si="3"/>
        <v>0.04996406732</v>
      </c>
    </row>
    <row r="388" ht="14.25" customHeight="1">
      <c r="A388" s="6">
        <v>43981.0</v>
      </c>
      <c r="B388" s="7" t="s">
        <v>24</v>
      </c>
      <c r="C388" s="7">
        <v>20688.0</v>
      </c>
      <c r="D388" s="7">
        <v>1773154.5</v>
      </c>
      <c r="E388" s="8">
        <f t="array" ref="E388">INDEX('Лист2'!$C$2:$C$505, MATCH(A388&amp;B388, 'Лист2'!$A$2:$A$505&amp;'Лист2'!$B$2:$B$505, 0))</f>
        <v>18</v>
      </c>
      <c r="F388" s="8">
        <f t="array" ref="F388">INDEX('Лист2'!$D$2:$D$505, MATCH(A388&amp;B388, 'Лист2'!$A$2:$A$505&amp;'Лист2'!$B$2:$B$505, 0))</f>
        <v>1216</v>
      </c>
      <c r="G388" s="8">
        <f t="array" ref="G388">INDEX('Лист2'!$E$2:$E$505, MATCH(A388&amp;B388, 'Лист2'!$A$2:$A$505&amp;'Лист2'!$B$2:$B$505, 0))</f>
        <v>1101</v>
      </c>
      <c r="H388" s="9">
        <f t="shared" si="1"/>
        <v>1149.333333</v>
      </c>
      <c r="I388" s="9">
        <f t="shared" si="2"/>
        <v>22</v>
      </c>
      <c r="J388" s="10">
        <f t="shared" si="3"/>
        <v>0.03573208674</v>
      </c>
    </row>
    <row r="389" ht="14.25" customHeight="1">
      <c r="A389" s="11">
        <v>43979.0</v>
      </c>
      <c r="B389" s="12" t="s">
        <v>24</v>
      </c>
      <c r="C389" s="12">
        <v>15678.0</v>
      </c>
      <c r="D389" s="12">
        <v>1387443.0</v>
      </c>
      <c r="E389" s="8">
        <f t="array" ref="E389">INDEX('Лист2'!$C$2:$C$505, MATCH(A389&amp;B389, 'Лист2'!$A$2:$A$505&amp;'Лист2'!$B$2:$B$505, 0))</f>
        <v>18</v>
      </c>
      <c r="F389" s="8">
        <f t="array" ref="F389">INDEX('Лист2'!$D$2:$D$505, MATCH(A389&amp;B389, 'Лист2'!$A$2:$A$505&amp;'Лист2'!$B$2:$B$505, 0))</f>
        <v>1020</v>
      </c>
      <c r="G389" s="8">
        <f t="array" ref="G389">INDEX('Лист2'!$E$2:$E$505, MATCH(A389&amp;B389, 'Лист2'!$A$2:$A$505&amp;'Лист2'!$B$2:$B$505, 0))</f>
        <v>911</v>
      </c>
      <c r="H389" s="9">
        <f t="shared" si="1"/>
        <v>871</v>
      </c>
      <c r="I389" s="9">
        <f t="shared" si="2"/>
        <v>22</v>
      </c>
      <c r="J389" s="10">
        <f t="shared" si="3"/>
        <v>0.02795934231</v>
      </c>
    </row>
    <row r="390" ht="14.25" customHeight="1">
      <c r="A390" s="6">
        <v>43969.0</v>
      </c>
      <c r="B390" s="7" t="s">
        <v>11</v>
      </c>
      <c r="C390" s="7">
        <v>31329.0</v>
      </c>
      <c r="D390" s="7">
        <v>2826379.5</v>
      </c>
      <c r="E390" s="8">
        <f t="array" ref="E390">INDEX('Лист2'!$C$2:$C$505, MATCH(A390&amp;B390, 'Лист2'!$A$2:$A$505&amp;'Лист2'!$B$2:$B$505, 0))</f>
        <v>21</v>
      </c>
      <c r="F390" s="8">
        <f t="array" ref="F390">INDEX('Лист2'!$D$2:$D$505, MATCH(A390&amp;B390, 'Лист2'!$A$2:$A$505&amp;'Лист2'!$B$2:$B$505, 0))</f>
        <v>1834</v>
      </c>
      <c r="G390" s="8">
        <f t="array" ref="G390">INDEX('Лист2'!$E$2:$E$505, MATCH(A390&amp;B390, 'Лист2'!$A$2:$A$505&amp;'Лист2'!$B$2:$B$505, 0))</f>
        <v>1660</v>
      </c>
      <c r="H390" s="9">
        <f t="shared" si="1"/>
        <v>1491.857143</v>
      </c>
      <c r="I390" s="9">
        <f t="shared" si="2"/>
        <v>21</v>
      </c>
      <c r="J390" s="10">
        <f t="shared" si="3"/>
        <v>0.05695636645</v>
      </c>
    </row>
    <row r="391" ht="14.25" customHeight="1">
      <c r="A391" s="11">
        <v>43965.0</v>
      </c>
      <c r="B391" s="12" t="s">
        <v>11</v>
      </c>
      <c r="C391" s="12">
        <v>29658.0</v>
      </c>
      <c r="D391" s="12">
        <v>2703132.0</v>
      </c>
      <c r="E391" s="8">
        <f t="array" ref="E391">INDEX('Лист2'!$C$2:$C$505, MATCH(A391&amp;B391, 'Лист2'!$A$2:$A$505&amp;'Лист2'!$B$2:$B$505, 0))</f>
        <v>21</v>
      </c>
      <c r="F391" s="8">
        <f t="array" ref="F391">INDEX('Лист2'!$D$2:$D$505, MATCH(A391&amp;B391, 'Лист2'!$A$2:$A$505&amp;'Лист2'!$B$2:$B$505, 0))</f>
        <v>1706</v>
      </c>
      <c r="G391" s="8">
        <f t="array" ref="G391">INDEX('Лист2'!$E$2:$E$505, MATCH(A391&amp;B391, 'Лист2'!$A$2:$A$505&amp;'Лист2'!$B$2:$B$505, 0))</f>
        <v>1548</v>
      </c>
      <c r="H391" s="9">
        <f t="shared" si="1"/>
        <v>1412.285714</v>
      </c>
      <c r="I391" s="9">
        <f t="shared" si="2"/>
        <v>20</v>
      </c>
      <c r="J391" s="10">
        <f t="shared" si="3"/>
        <v>0.05447271916</v>
      </c>
    </row>
    <row r="392" ht="14.25" customHeight="1">
      <c r="A392" s="6">
        <v>43966.0</v>
      </c>
      <c r="B392" s="7" t="s">
        <v>11</v>
      </c>
      <c r="C392" s="7">
        <v>34150.5</v>
      </c>
      <c r="D392" s="7">
        <v>3038293.5</v>
      </c>
      <c r="E392" s="8">
        <f t="array" ref="E392">INDEX('Лист2'!$C$2:$C$505, MATCH(A392&amp;B392, 'Лист2'!$A$2:$A$505&amp;'Лист2'!$B$2:$B$505, 0))</f>
        <v>21</v>
      </c>
      <c r="F392" s="8">
        <f t="array" ref="F392">INDEX('Лист2'!$D$2:$D$505, MATCH(A392&amp;B392, 'Лист2'!$A$2:$A$505&amp;'Лист2'!$B$2:$B$505, 0))</f>
        <v>1926</v>
      </c>
      <c r="G392" s="8">
        <f t="array" ref="G392">INDEX('Лист2'!$E$2:$E$505, MATCH(A392&amp;B392, 'Лист2'!$A$2:$A$505&amp;'Лист2'!$B$2:$B$505, 0))</f>
        <v>1742</v>
      </c>
      <c r="H392" s="9">
        <f t="shared" si="1"/>
        <v>1626.214286</v>
      </c>
      <c r="I392" s="9">
        <f t="shared" si="2"/>
        <v>20</v>
      </c>
      <c r="J392" s="10">
        <f t="shared" si="3"/>
        <v>0.0612267949</v>
      </c>
    </row>
    <row r="393" ht="14.25" customHeight="1">
      <c r="A393" s="11">
        <v>43983.0</v>
      </c>
      <c r="B393" s="12" t="s">
        <v>11</v>
      </c>
      <c r="C393" s="12">
        <v>31947.0</v>
      </c>
      <c r="D393" s="12">
        <v>2945035.5</v>
      </c>
      <c r="E393" s="8">
        <f t="array" ref="E393">INDEX('Лист2'!$C$2:$C$505, MATCH(A393&amp;B393, 'Лист2'!$A$2:$A$505&amp;'Лист2'!$B$2:$B$505, 0))</f>
        <v>21</v>
      </c>
      <c r="F393" s="8">
        <f t="array" ref="F393">INDEX('Лист2'!$D$2:$D$505, MATCH(A393&amp;B393, 'Лист2'!$A$2:$A$505&amp;'Лист2'!$B$2:$B$505, 0))</f>
        <v>2025</v>
      </c>
      <c r="G393" s="8">
        <f t="array" ref="G393">INDEX('Лист2'!$E$2:$E$505, MATCH(A393&amp;B393, 'Лист2'!$A$2:$A$505&amp;'Лист2'!$B$2:$B$505, 0))</f>
        <v>1849</v>
      </c>
      <c r="H393" s="9">
        <f t="shared" si="1"/>
        <v>1521.285714</v>
      </c>
      <c r="I393" s="9">
        <f t="shared" si="2"/>
        <v>23</v>
      </c>
      <c r="J393" s="10">
        <f t="shared" si="3"/>
        <v>0.05934748718</v>
      </c>
    </row>
    <row r="394" ht="14.25" customHeight="1">
      <c r="A394" s="6">
        <v>43982.0</v>
      </c>
      <c r="B394" s="7" t="s">
        <v>25</v>
      </c>
      <c r="C394" s="7">
        <v>10416.0</v>
      </c>
      <c r="D394" s="7">
        <v>866023.5</v>
      </c>
      <c r="E394" s="8">
        <f t="array" ref="E394">INDEX('Лист2'!$C$2:$C$505, MATCH(A394&amp;B394, 'Лист2'!$A$2:$A$505&amp;'Лист2'!$B$2:$B$505, 0))</f>
        <v>7</v>
      </c>
      <c r="F394" s="8">
        <f t="array" ref="F394">INDEX('Лист2'!$D$2:$D$505, MATCH(A394&amp;B394, 'Лист2'!$A$2:$A$505&amp;'Лист2'!$B$2:$B$505, 0))</f>
        <v>530</v>
      </c>
      <c r="G394" s="8">
        <f t="array" ref="G394">INDEX('Лист2'!$E$2:$E$505, MATCH(A394&amp;B394, 'Лист2'!$A$2:$A$505&amp;'Лист2'!$B$2:$B$505, 0))</f>
        <v>447</v>
      </c>
      <c r="H394" s="9">
        <f t="shared" si="1"/>
        <v>1488</v>
      </c>
      <c r="I394" s="9">
        <f t="shared" si="2"/>
        <v>22</v>
      </c>
      <c r="J394" s="10">
        <f t="shared" si="3"/>
        <v>0.01745185026</v>
      </c>
    </row>
    <row r="395" ht="14.25" customHeight="1">
      <c r="A395" s="11">
        <v>43980.0</v>
      </c>
      <c r="B395" s="12" t="s">
        <v>11</v>
      </c>
      <c r="C395" s="12">
        <v>35431.5</v>
      </c>
      <c r="D395" s="12">
        <v>3193167.0</v>
      </c>
      <c r="E395" s="8">
        <f t="array" ref="E395">INDEX('Лист2'!$C$2:$C$505, MATCH(A395&amp;B395, 'Лист2'!$A$2:$A$505&amp;'Лист2'!$B$2:$B$505, 0))</f>
        <v>20</v>
      </c>
      <c r="F395" s="8">
        <f t="array" ref="F395">INDEX('Лист2'!$D$2:$D$505, MATCH(A395&amp;B395, 'Лист2'!$A$2:$A$505&amp;'Лист2'!$B$2:$B$505, 0))</f>
        <v>2111</v>
      </c>
      <c r="G395" s="8">
        <f t="array" ref="G395">INDEX('Лист2'!$E$2:$E$505, MATCH(A395&amp;B395, 'Лист2'!$A$2:$A$505&amp;'Лист2'!$B$2:$B$505, 0))</f>
        <v>1917</v>
      </c>
      <c r="H395" s="9">
        <f t="shared" si="1"/>
        <v>1771.575</v>
      </c>
      <c r="I395" s="9">
        <f t="shared" si="2"/>
        <v>22</v>
      </c>
      <c r="J395" s="10">
        <f t="shared" si="3"/>
        <v>0.06434776001</v>
      </c>
    </row>
    <row r="396" ht="14.25" customHeight="1">
      <c r="A396" s="6">
        <v>43978.0</v>
      </c>
      <c r="B396" s="7" t="s">
        <v>12</v>
      </c>
      <c r="C396" s="7">
        <v>78544.5</v>
      </c>
      <c r="D396" s="7">
        <v>6701083.5</v>
      </c>
      <c r="E396" s="8">
        <f t="array" ref="E396">INDEX('Лист2'!$C$2:$C$505, MATCH(A396&amp;B396, 'Лист2'!$A$2:$A$505&amp;'Лист2'!$B$2:$B$505, 0))</f>
        <v>31</v>
      </c>
      <c r="F396" s="8">
        <f t="array" ref="F396">INDEX('Лист2'!$D$2:$D$505, MATCH(A396&amp;B396, 'Лист2'!$A$2:$A$505&amp;'Лист2'!$B$2:$B$505, 0))</f>
        <v>5330</v>
      </c>
      <c r="G396" s="8">
        <f t="array" ref="G396">INDEX('Лист2'!$E$2:$E$505, MATCH(A396&amp;B396, 'Лист2'!$A$2:$A$505&amp;'Лист2'!$B$2:$B$505, 0))</f>
        <v>4977</v>
      </c>
      <c r="H396" s="9">
        <f t="shared" si="1"/>
        <v>2533.693548</v>
      </c>
      <c r="I396" s="9">
        <f t="shared" si="2"/>
        <v>22</v>
      </c>
      <c r="J396" s="10">
        <f t="shared" si="3"/>
        <v>0.1350382592</v>
      </c>
    </row>
    <row r="397" ht="14.25" customHeight="1">
      <c r="A397" s="11">
        <v>43973.0</v>
      </c>
      <c r="B397" s="12" t="s">
        <v>12</v>
      </c>
      <c r="C397" s="12">
        <v>97963.5</v>
      </c>
      <c r="D397" s="12">
        <v>7728465.0</v>
      </c>
      <c r="E397" s="8">
        <f t="array" ref="E397">INDEX('Лист2'!$C$2:$C$505, MATCH(A397&amp;B397, 'Лист2'!$A$2:$A$505&amp;'Лист2'!$B$2:$B$505, 0))</f>
        <v>31</v>
      </c>
      <c r="F397" s="8">
        <f t="array" ref="F397">INDEX('Лист2'!$D$2:$D$505, MATCH(A397&amp;B397, 'Лист2'!$A$2:$A$505&amp;'Лист2'!$B$2:$B$505, 0))</f>
        <v>5965</v>
      </c>
      <c r="G397" s="8">
        <f t="array" ref="G397">INDEX('Лист2'!$E$2:$E$505, MATCH(A397&amp;B397, 'Лист2'!$A$2:$A$505&amp;'Лист2'!$B$2:$B$505, 0))</f>
        <v>5533</v>
      </c>
      <c r="H397" s="9">
        <f t="shared" si="1"/>
        <v>3160.112903</v>
      </c>
      <c r="I397" s="9">
        <f t="shared" si="2"/>
        <v>21</v>
      </c>
      <c r="J397" s="10">
        <f t="shared" si="3"/>
        <v>0.1557417483</v>
      </c>
    </row>
    <row r="398" ht="14.25" customHeight="1">
      <c r="A398" s="6">
        <v>43983.0</v>
      </c>
      <c r="B398" s="7" t="s">
        <v>12</v>
      </c>
      <c r="C398" s="7">
        <v>77269.5</v>
      </c>
      <c r="D398" s="7">
        <v>6829921.5</v>
      </c>
      <c r="E398" s="8">
        <f t="array" ref="E398">INDEX('Лист2'!$C$2:$C$505, MATCH(A398&amp;B398, 'Лист2'!$A$2:$A$505&amp;'Лист2'!$B$2:$B$505, 0))</f>
        <v>31</v>
      </c>
      <c r="F398" s="8">
        <f t="array" ref="F398">INDEX('Лист2'!$D$2:$D$505, MATCH(A398&amp;B398, 'Лист2'!$A$2:$A$505&amp;'Лист2'!$B$2:$B$505, 0))</f>
        <v>5468</v>
      </c>
      <c r="G398" s="8">
        <f t="array" ref="G398">INDEX('Лист2'!$E$2:$E$505, MATCH(A398&amp;B398, 'Лист2'!$A$2:$A$505&amp;'Лист2'!$B$2:$B$505, 0))</f>
        <v>5081</v>
      </c>
      <c r="H398" s="9">
        <f t="shared" si="1"/>
        <v>2492.564516</v>
      </c>
      <c r="I398" s="9">
        <f t="shared" si="2"/>
        <v>23</v>
      </c>
      <c r="J398" s="10">
        <f t="shared" si="3"/>
        <v>0.1376345646</v>
      </c>
    </row>
    <row r="399" ht="14.25" customHeight="1">
      <c r="A399" s="11">
        <v>43982.0</v>
      </c>
      <c r="B399" s="12" t="s">
        <v>24</v>
      </c>
      <c r="C399" s="12">
        <v>16143.0</v>
      </c>
      <c r="D399" s="12">
        <v>1423410.0</v>
      </c>
      <c r="E399" s="8">
        <f t="array" ref="E399">INDEX('Лист2'!$C$2:$C$505, MATCH(A399&amp;B399, 'Лист2'!$A$2:$A$505&amp;'Лист2'!$B$2:$B$505, 0))</f>
        <v>18</v>
      </c>
      <c r="F399" s="8">
        <f t="array" ref="F399">INDEX('Лист2'!$D$2:$D$505, MATCH(A399&amp;B399, 'Лист2'!$A$2:$A$505&amp;'Лист2'!$B$2:$B$505, 0))</f>
        <v>1029</v>
      </c>
      <c r="G399" s="8">
        <f t="array" ref="G399">INDEX('Лист2'!$E$2:$E$505, MATCH(A399&amp;B399, 'Лист2'!$A$2:$A$505&amp;'Лист2'!$B$2:$B$505, 0))</f>
        <v>925</v>
      </c>
      <c r="H399" s="9">
        <f t="shared" si="1"/>
        <v>896.8333333</v>
      </c>
      <c r="I399" s="9">
        <f t="shared" si="2"/>
        <v>22</v>
      </c>
      <c r="J399" s="10">
        <f t="shared" si="3"/>
        <v>0.02868413869</v>
      </c>
    </row>
    <row r="400" ht="14.25" customHeight="1">
      <c r="A400" s="6">
        <v>43962.0</v>
      </c>
      <c r="B400" s="7" t="s">
        <v>12</v>
      </c>
      <c r="C400" s="7">
        <v>72220.5</v>
      </c>
      <c r="D400" s="7">
        <v>6398719.5</v>
      </c>
      <c r="E400" s="8">
        <f t="array" ref="E400">INDEX('Лист2'!$C$2:$C$505, MATCH(A400&amp;B400, 'Лист2'!$A$2:$A$505&amp;'Лист2'!$B$2:$B$505, 0))</f>
        <v>31</v>
      </c>
      <c r="F400" s="8">
        <f t="array" ref="F400">INDEX('Лист2'!$D$2:$D$505, MATCH(A400&amp;B400, 'Лист2'!$A$2:$A$505&amp;'Лист2'!$B$2:$B$505, 0))</f>
        <v>4826</v>
      </c>
      <c r="G400" s="8">
        <f t="array" ref="G400">INDEX('Лист2'!$E$2:$E$505, MATCH(A400&amp;B400, 'Лист2'!$A$2:$A$505&amp;'Лист2'!$B$2:$B$505, 0))</f>
        <v>4483</v>
      </c>
      <c r="H400" s="9">
        <f t="shared" si="1"/>
        <v>2329.693548</v>
      </c>
      <c r="I400" s="9">
        <f t="shared" si="2"/>
        <v>20</v>
      </c>
      <c r="J400" s="10">
        <f t="shared" si="3"/>
        <v>0.128945109</v>
      </c>
    </row>
    <row r="401" ht="14.25" customHeight="1">
      <c r="A401" s="11">
        <v>43969.0</v>
      </c>
      <c r="B401" s="12" t="s">
        <v>12</v>
      </c>
      <c r="C401" s="12">
        <v>78058.5</v>
      </c>
      <c r="D401" s="12">
        <v>6609714.0</v>
      </c>
      <c r="E401" s="8">
        <f t="array" ref="E401">INDEX('Лист2'!$C$2:$C$505, MATCH(A401&amp;B401, 'Лист2'!$A$2:$A$505&amp;'Лист2'!$B$2:$B$505, 0))</f>
        <v>31</v>
      </c>
      <c r="F401" s="8">
        <f t="array" ref="F401">INDEX('Лист2'!$D$2:$D$505, MATCH(A401&amp;B401, 'Лист2'!$A$2:$A$505&amp;'Лист2'!$B$2:$B$505, 0))</f>
        <v>5165</v>
      </c>
      <c r="G401" s="8">
        <f t="array" ref="G401">INDEX('Лист2'!$E$2:$E$505, MATCH(A401&amp;B401, 'Лист2'!$A$2:$A$505&amp;'Лист2'!$B$2:$B$505, 0))</f>
        <v>4813</v>
      </c>
      <c r="H401" s="9">
        <f t="shared" si="1"/>
        <v>2518.016129</v>
      </c>
      <c r="I401" s="9">
        <f t="shared" si="2"/>
        <v>21</v>
      </c>
      <c r="J401" s="10">
        <f t="shared" si="3"/>
        <v>0.1331970079</v>
      </c>
    </row>
    <row r="402" ht="14.25" customHeight="1">
      <c r="A402" s="6">
        <v>43965.0</v>
      </c>
      <c r="B402" s="7" t="s">
        <v>12</v>
      </c>
      <c r="C402" s="7">
        <v>70498.5</v>
      </c>
      <c r="D402" s="7">
        <v>6053649.0</v>
      </c>
      <c r="E402" s="8">
        <f t="array" ref="E402">INDEX('Лист2'!$C$2:$C$505, MATCH(A402&amp;B402, 'Лист2'!$A$2:$A$505&amp;'Лист2'!$B$2:$B$505, 0))</f>
        <v>31</v>
      </c>
      <c r="F402" s="8">
        <f t="array" ref="F402">INDEX('Лист2'!$D$2:$D$505, MATCH(A402&amp;B402, 'Лист2'!$A$2:$A$505&amp;'Лист2'!$B$2:$B$505, 0))</f>
        <v>4695</v>
      </c>
      <c r="G402" s="8">
        <f t="array" ref="G402">INDEX('Лист2'!$E$2:$E$505, MATCH(A402&amp;B402, 'Лист2'!$A$2:$A$505&amp;'Лист2'!$B$2:$B$505, 0))</f>
        <v>4372</v>
      </c>
      <c r="H402" s="9">
        <f t="shared" si="1"/>
        <v>2274.145161</v>
      </c>
      <c r="I402" s="9">
        <f t="shared" si="2"/>
        <v>20</v>
      </c>
      <c r="J402" s="10">
        <f t="shared" si="3"/>
        <v>0.12199135</v>
      </c>
    </row>
    <row r="403" ht="14.25" customHeight="1">
      <c r="A403" s="11">
        <v>43966.0</v>
      </c>
      <c r="B403" s="12" t="s">
        <v>12</v>
      </c>
      <c r="C403" s="12">
        <v>78961.5</v>
      </c>
      <c r="D403" s="12">
        <v>6876454.5</v>
      </c>
      <c r="E403" s="8">
        <f t="array" ref="E403">INDEX('Лист2'!$C$2:$C$505, MATCH(A403&amp;B403, 'Лист2'!$A$2:$A$505&amp;'Лист2'!$B$2:$B$505, 0))</f>
        <v>31</v>
      </c>
      <c r="F403" s="8">
        <f t="array" ref="F403">INDEX('Лист2'!$D$2:$D$505, MATCH(A403&amp;B403, 'Лист2'!$A$2:$A$505&amp;'Лист2'!$B$2:$B$505, 0))</f>
        <v>5184</v>
      </c>
      <c r="G403" s="8">
        <f t="array" ref="G403">INDEX('Лист2'!$E$2:$E$505, MATCH(A403&amp;B403, 'Лист2'!$A$2:$A$505&amp;'Лист2'!$B$2:$B$505, 0))</f>
        <v>4778</v>
      </c>
      <c r="H403" s="9">
        <f t="shared" si="1"/>
        <v>2547.145161</v>
      </c>
      <c r="I403" s="9">
        <f t="shared" si="2"/>
        <v>20</v>
      </c>
      <c r="J403" s="10">
        <f t="shared" si="3"/>
        <v>0.1385722839</v>
      </c>
    </row>
    <row r="404" ht="14.25" customHeight="1">
      <c r="A404" s="6">
        <v>43978.0</v>
      </c>
      <c r="B404" s="7" t="s">
        <v>13</v>
      </c>
      <c r="C404" s="7">
        <v>12490.5</v>
      </c>
      <c r="D404" s="7">
        <v>1054798.5</v>
      </c>
      <c r="E404" s="8">
        <f t="array" ref="E404">INDEX('Лист2'!$C$2:$C$505, MATCH(A404&amp;B404, 'Лист2'!$A$2:$A$505&amp;'Лист2'!$B$2:$B$505, 0))</f>
        <v>10</v>
      </c>
      <c r="F404" s="8">
        <f t="array" ref="F404">INDEX('Лист2'!$D$2:$D$505, MATCH(A404&amp;B404, 'Лист2'!$A$2:$A$505&amp;'Лист2'!$B$2:$B$505, 0))</f>
        <v>757</v>
      </c>
      <c r="G404" s="8">
        <f t="array" ref="G404">INDEX('Лист2'!$E$2:$E$505, MATCH(A404&amp;B404, 'Лист2'!$A$2:$A$505&amp;'Лист2'!$B$2:$B$505, 0))</f>
        <v>660</v>
      </c>
      <c r="H404" s="9">
        <f t="shared" si="1"/>
        <v>1249.05</v>
      </c>
      <c r="I404" s="9">
        <f t="shared" si="2"/>
        <v>22</v>
      </c>
      <c r="J404" s="10">
        <f t="shared" si="3"/>
        <v>0.02125598841</v>
      </c>
    </row>
    <row r="405" ht="14.25" customHeight="1">
      <c r="A405" s="11">
        <v>43973.0</v>
      </c>
      <c r="B405" s="12" t="s">
        <v>13</v>
      </c>
      <c r="C405" s="12">
        <v>18036.0</v>
      </c>
      <c r="D405" s="12">
        <v>1455049.5</v>
      </c>
      <c r="E405" s="8">
        <f t="array" ref="E405">INDEX('Лист2'!$C$2:$C$505, MATCH(A405&amp;B405, 'Лист2'!$A$2:$A$505&amp;'Лист2'!$B$2:$B$505, 0))</f>
        <v>10</v>
      </c>
      <c r="F405" s="8">
        <f t="array" ref="F405">INDEX('Лист2'!$D$2:$D$505, MATCH(A405&amp;B405, 'Лист2'!$A$2:$A$505&amp;'Лист2'!$B$2:$B$505, 0))</f>
        <v>965</v>
      </c>
      <c r="G405" s="8">
        <f t="array" ref="G405">INDEX('Лист2'!$E$2:$E$505, MATCH(A405&amp;B405, 'Лист2'!$A$2:$A$505&amp;'Лист2'!$B$2:$B$505, 0))</f>
        <v>861</v>
      </c>
      <c r="H405" s="9">
        <f t="shared" si="1"/>
        <v>1803.6</v>
      </c>
      <c r="I405" s="9">
        <f t="shared" si="2"/>
        <v>21</v>
      </c>
      <c r="J405" s="10">
        <f t="shared" si="3"/>
        <v>0.02932172856</v>
      </c>
    </row>
    <row r="406" ht="14.25" customHeight="1">
      <c r="A406" s="6">
        <v>43983.0</v>
      </c>
      <c r="B406" s="7" t="s">
        <v>13</v>
      </c>
      <c r="C406" s="7">
        <v>11416.5</v>
      </c>
      <c r="D406" s="7">
        <v>1007742.0</v>
      </c>
      <c r="E406" s="8">
        <f t="array" ref="E406">INDEX('Лист2'!$C$2:$C$505, MATCH(A406&amp;B406, 'Лист2'!$A$2:$A$505&amp;'Лист2'!$B$2:$B$505, 0))</f>
        <v>10</v>
      </c>
      <c r="F406" s="8">
        <f t="array" ref="F406">INDEX('Лист2'!$D$2:$D$505, MATCH(A406&amp;B406, 'Лист2'!$A$2:$A$505&amp;'Лист2'!$B$2:$B$505, 0))</f>
        <v>719</v>
      </c>
      <c r="G406" s="8">
        <f t="array" ref="G406">INDEX('Лист2'!$E$2:$E$505, MATCH(A406&amp;B406, 'Лист2'!$A$2:$A$505&amp;'Лист2'!$B$2:$B$505, 0))</f>
        <v>627</v>
      </c>
      <c r="H406" s="9">
        <f t="shared" si="1"/>
        <v>1141.65</v>
      </c>
      <c r="I406" s="9">
        <f t="shared" si="2"/>
        <v>23</v>
      </c>
      <c r="J406" s="10">
        <f t="shared" si="3"/>
        <v>0.02030771969</v>
      </c>
    </row>
    <row r="407" ht="14.25" customHeight="1">
      <c r="A407" s="11">
        <v>43962.0</v>
      </c>
      <c r="B407" s="12" t="s">
        <v>13</v>
      </c>
      <c r="C407" s="12">
        <v>9007.5</v>
      </c>
      <c r="D407" s="12">
        <v>734335.5</v>
      </c>
      <c r="E407" s="8">
        <f t="array" ref="E407">INDEX('Лист2'!$C$2:$C$505, MATCH(A407&amp;B407, 'Лист2'!$A$2:$A$505&amp;'Лист2'!$B$2:$B$505, 0))</f>
        <v>10</v>
      </c>
      <c r="F407" s="8">
        <f t="array" ref="F407">INDEX('Лист2'!$D$2:$D$505, MATCH(A407&amp;B407, 'Лист2'!$A$2:$A$505&amp;'Лист2'!$B$2:$B$505, 0))</f>
        <v>494</v>
      </c>
      <c r="G407" s="8">
        <f t="array" ref="G407">INDEX('Лист2'!$E$2:$E$505, MATCH(A407&amp;B407, 'Лист2'!$A$2:$A$505&amp;'Лист2'!$B$2:$B$505, 0))</f>
        <v>421</v>
      </c>
      <c r="H407" s="9">
        <f t="shared" si="1"/>
        <v>900.75</v>
      </c>
      <c r="I407" s="9">
        <f t="shared" si="2"/>
        <v>20</v>
      </c>
      <c r="J407" s="10">
        <f t="shared" si="3"/>
        <v>0.01479811251</v>
      </c>
    </row>
    <row r="408" ht="14.25" customHeight="1">
      <c r="A408" s="6">
        <v>43980.0</v>
      </c>
      <c r="B408" s="7" t="s">
        <v>12</v>
      </c>
      <c r="C408" s="7">
        <v>87552.0</v>
      </c>
      <c r="D408" s="7">
        <v>7387116.0</v>
      </c>
      <c r="E408" s="8">
        <f t="array" ref="E408">INDEX('Лист2'!$C$2:$C$505, MATCH(A408&amp;B408, 'Лист2'!$A$2:$A$505&amp;'Лист2'!$B$2:$B$505, 0))</f>
        <v>31</v>
      </c>
      <c r="F408" s="8">
        <f t="array" ref="F408">INDEX('Лист2'!$D$2:$D$505, MATCH(A408&amp;B408, 'Лист2'!$A$2:$A$505&amp;'Лист2'!$B$2:$B$505, 0))</f>
        <v>5751</v>
      </c>
      <c r="G408" s="8">
        <f t="array" ref="G408">INDEX('Лист2'!$E$2:$E$505, MATCH(A408&amp;B408, 'Лист2'!$A$2:$A$505&amp;'Лист2'!$B$2:$B$505, 0))</f>
        <v>5319</v>
      </c>
      <c r="H408" s="9">
        <f t="shared" si="1"/>
        <v>2824.258065</v>
      </c>
      <c r="I408" s="9">
        <f t="shared" si="2"/>
        <v>22</v>
      </c>
      <c r="J408" s="10">
        <f t="shared" si="3"/>
        <v>0.1488629839</v>
      </c>
    </row>
    <row r="409" ht="14.25" customHeight="1">
      <c r="A409" s="11">
        <v>43969.0</v>
      </c>
      <c r="B409" s="12" t="s">
        <v>13</v>
      </c>
      <c r="C409" s="12">
        <v>11680.5</v>
      </c>
      <c r="D409" s="12">
        <v>936427.5</v>
      </c>
      <c r="E409" s="8">
        <f t="array" ref="E409">INDEX('Лист2'!$C$2:$C$505, MATCH(A409&amp;B409, 'Лист2'!$A$2:$A$505&amp;'Лист2'!$B$2:$B$505, 0))</f>
        <v>10</v>
      </c>
      <c r="F409" s="8">
        <f t="array" ref="F409">INDEX('Лист2'!$D$2:$D$505, MATCH(A409&amp;B409, 'Лист2'!$A$2:$A$505&amp;'Лист2'!$B$2:$B$505, 0))</f>
        <v>645</v>
      </c>
      <c r="G409" s="8">
        <f t="array" ref="G409">INDEX('Лист2'!$E$2:$E$505, MATCH(A409&amp;B409, 'Лист2'!$A$2:$A$505&amp;'Лист2'!$B$2:$B$505, 0))</f>
        <v>565</v>
      </c>
      <c r="H409" s="9">
        <f t="shared" si="1"/>
        <v>1168.05</v>
      </c>
      <c r="I409" s="9">
        <f t="shared" si="2"/>
        <v>21</v>
      </c>
      <c r="J409" s="10">
        <f t="shared" si="3"/>
        <v>0.01887061091</v>
      </c>
    </row>
    <row r="410" ht="14.25" customHeight="1">
      <c r="A410" s="6">
        <v>43965.0</v>
      </c>
      <c r="B410" s="7" t="s">
        <v>13</v>
      </c>
      <c r="C410" s="7">
        <v>12037.5</v>
      </c>
      <c r="D410" s="7">
        <v>981564.0</v>
      </c>
      <c r="E410" s="8">
        <f t="array" ref="E410">INDEX('Лист2'!$C$2:$C$505, MATCH(A410&amp;B410, 'Лист2'!$A$2:$A$505&amp;'Лист2'!$B$2:$B$505, 0))</f>
        <v>10</v>
      </c>
      <c r="F410" s="8">
        <f t="array" ref="F410">INDEX('Лист2'!$D$2:$D$505, MATCH(A410&amp;B410, 'Лист2'!$A$2:$A$505&amp;'Лист2'!$B$2:$B$505, 0))</f>
        <v>627</v>
      </c>
      <c r="G410" s="8">
        <f t="array" ref="G410">INDEX('Лист2'!$E$2:$E$505, MATCH(A410&amp;B410, 'Лист2'!$A$2:$A$505&amp;'Лист2'!$B$2:$B$505, 0))</f>
        <v>545</v>
      </c>
      <c r="H410" s="9">
        <f t="shared" si="1"/>
        <v>1203.75</v>
      </c>
      <c r="I410" s="9">
        <f t="shared" si="2"/>
        <v>20</v>
      </c>
      <c r="J410" s="10">
        <f t="shared" si="3"/>
        <v>0.01978018836</v>
      </c>
    </row>
    <row r="411" ht="14.25" customHeight="1">
      <c r="A411" s="11">
        <v>43966.0</v>
      </c>
      <c r="B411" s="12" t="s">
        <v>13</v>
      </c>
      <c r="C411" s="12">
        <v>14421.0</v>
      </c>
      <c r="D411" s="12">
        <v>1150579.5</v>
      </c>
      <c r="E411" s="8">
        <f t="array" ref="E411">INDEX('Лист2'!$C$2:$C$505, MATCH(A411&amp;B411, 'Лист2'!$A$2:$A$505&amp;'Лист2'!$B$2:$B$505, 0))</f>
        <v>10</v>
      </c>
      <c r="F411" s="8">
        <f t="array" ref="F411">INDEX('Лист2'!$D$2:$D$505, MATCH(A411&amp;B411, 'Лист2'!$A$2:$A$505&amp;'Лист2'!$B$2:$B$505, 0))</f>
        <v>743</v>
      </c>
      <c r="G411" s="8">
        <f t="array" ref="G411">INDEX('Лист2'!$E$2:$E$505, MATCH(A411&amp;B411, 'Лист2'!$A$2:$A$505&amp;'Лист2'!$B$2:$B$505, 0))</f>
        <v>652</v>
      </c>
      <c r="H411" s="9">
        <f t="shared" si="1"/>
        <v>1442.1</v>
      </c>
      <c r="I411" s="9">
        <f t="shared" si="2"/>
        <v>20</v>
      </c>
      <c r="J411" s="10">
        <f t="shared" si="3"/>
        <v>0.02318613888</v>
      </c>
    </row>
    <row r="412" ht="14.25" customHeight="1">
      <c r="A412" s="6">
        <v>43980.0</v>
      </c>
      <c r="B412" s="7" t="s">
        <v>13</v>
      </c>
      <c r="C412" s="7">
        <v>14823.0</v>
      </c>
      <c r="D412" s="7">
        <v>1273464.0</v>
      </c>
      <c r="E412" s="8">
        <f t="array" ref="E412">INDEX('Лист2'!$C$2:$C$505, MATCH(A412&amp;B412, 'Лист2'!$A$2:$A$505&amp;'Лист2'!$B$2:$B$505, 0))</f>
        <v>10</v>
      </c>
      <c r="F412" s="8">
        <f t="array" ref="F412">INDEX('Лист2'!$D$2:$D$505, MATCH(A412&amp;B412, 'Лист2'!$A$2:$A$505&amp;'Лист2'!$B$2:$B$505, 0))</f>
        <v>873</v>
      </c>
      <c r="G412" s="8">
        <f t="array" ref="G412">INDEX('Лист2'!$E$2:$E$505, MATCH(A412&amp;B412, 'Лист2'!$A$2:$A$505&amp;'Лист2'!$B$2:$B$505, 0))</f>
        <v>770</v>
      </c>
      <c r="H412" s="9">
        <f t="shared" si="1"/>
        <v>1482.3</v>
      </c>
      <c r="I412" s="9">
        <f t="shared" si="2"/>
        <v>22</v>
      </c>
      <c r="J412" s="10">
        <f t="shared" si="3"/>
        <v>0.0256624711</v>
      </c>
    </row>
    <row r="413" ht="14.25" customHeight="1">
      <c r="A413" s="11">
        <v>43978.0</v>
      </c>
      <c r="B413" s="12" t="s">
        <v>14</v>
      </c>
      <c r="C413" s="12">
        <v>31257.0</v>
      </c>
      <c r="D413" s="12">
        <v>2924133.0</v>
      </c>
      <c r="E413" s="8">
        <f t="array" ref="E413">INDEX('Лист2'!$C$2:$C$505, MATCH(A413&amp;B413, 'Лист2'!$A$2:$A$505&amp;'Лист2'!$B$2:$B$505, 0))</f>
        <v>20</v>
      </c>
      <c r="F413" s="8">
        <f t="array" ref="F413">INDEX('Лист2'!$D$2:$D$505, MATCH(A413&amp;B413, 'Лист2'!$A$2:$A$505&amp;'Лист2'!$B$2:$B$505, 0))</f>
        <v>2079</v>
      </c>
      <c r="G413" s="8">
        <f t="array" ref="G413">INDEX('Лист2'!$E$2:$E$505, MATCH(A413&amp;B413, 'Лист2'!$A$2:$A$505&amp;'Лист2'!$B$2:$B$505, 0))</f>
        <v>1856</v>
      </c>
      <c r="H413" s="9">
        <f t="shared" si="1"/>
        <v>1562.85</v>
      </c>
      <c r="I413" s="9">
        <f t="shared" si="2"/>
        <v>22</v>
      </c>
      <c r="J413" s="10">
        <f t="shared" si="3"/>
        <v>0.05892626616</v>
      </c>
    </row>
    <row r="414" ht="14.25" customHeight="1">
      <c r="A414" s="6">
        <v>43973.0</v>
      </c>
      <c r="B414" s="7" t="s">
        <v>14</v>
      </c>
      <c r="C414" s="7">
        <v>38074.5</v>
      </c>
      <c r="D414" s="7">
        <v>3414180.0</v>
      </c>
      <c r="E414" s="8">
        <f t="array" ref="E414">INDEX('Лист2'!$C$2:$C$505, MATCH(A414&amp;B414, 'Лист2'!$A$2:$A$505&amp;'Лист2'!$B$2:$B$505, 0))</f>
        <v>20</v>
      </c>
      <c r="F414" s="8">
        <f t="array" ref="F414">INDEX('Лист2'!$D$2:$D$505, MATCH(A414&amp;B414, 'Лист2'!$A$2:$A$505&amp;'Лист2'!$B$2:$B$505, 0))</f>
        <v>2306</v>
      </c>
      <c r="G414" s="8">
        <f t="array" ref="G414">INDEX('Лист2'!$E$2:$E$505, MATCH(A414&amp;B414, 'Лист2'!$A$2:$A$505&amp;'Лист2'!$B$2:$B$505, 0))</f>
        <v>2054</v>
      </c>
      <c r="H414" s="9">
        <f t="shared" si="1"/>
        <v>1903.725</v>
      </c>
      <c r="I414" s="9">
        <f t="shared" si="2"/>
        <v>21</v>
      </c>
      <c r="J414" s="10">
        <f t="shared" si="3"/>
        <v>0.06880154883</v>
      </c>
    </row>
    <row r="415" ht="14.25" customHeight="1">
      <c r="A415" s="11">
        <v>43983.0</v>
      </c>
      <c r="B415" s="12" t="s">
        <v>14</v>
      </c>
      <c r="C415" s="12">
        <v>32170.5</v>
      </c>
      <c r="D415" s="12">
        <v>3013512.0</v>
      </c>
      <c r="E415" s="8">
        <f t="array" ref="E415">INDEX('Лист2'!$C$2:$C$505, MATCH(A415&amp;B415, 'Лист2'!$A$2:$A$505&amp;'Лист2'!$B$2:$B$505, 0))</f>
        <v>20</v>
      </c>
      <c r="F415" s="8">
        <f t="array" ref="F415">INDEX('Лист2'!$D$2:$D$505, MATCH(A415&amp;B415, 'Лист2'!$A$2:$A$505&amp;'Лист2'!$B$2:$B$505, 0))</f>
        <v>2136</v>
      </c>
      <c r="G415" s="8">
        <f t="array" ref="G415">INDEX('Лист2'!$E$2:$E$505, MATCH(A415&amp;B415, 'Лист2'!$A$2:$A$505&amp;'Лист2'!$B$2:$B$505, 0))</f>
        <v>1899</v>
      </c>
      <c r="H415" s="9">
        <f t="shared" si="1"/>
        <v>1608.525</v>
      </c>
      <c r="I415" s="9">
        <f t="shared" si="2"/>
        <v>23</v>
      </c>
      <c r="J415" s="10">
        <f t="shared" si="3"/>
        <v>0.06072740542</v>
      </c>
    </row>
    <row r="416" ht="14.25" customHeight="1">
      <c r="A416" s="6">
        <v>43962.0</v>
      </c>
      <c r="B416" s="7" t="s">
        <v>14</v>
      </c>
      <c r="C416" s="7">
        <v>42397.5</v>
      </c>
      <c r="D416" s="7">
        <v>3911979.0</v>
      </c>
      <c r="E416" s="8">
        <f t="array" ref="E416">INDEX('Лист2'!$C$2:$C$505, MATCH(A416&amp;B416, 'Лист2'!$A$2:$A$505&amp;'Лист2'!$B$2:$B$505, 0))</f>
        <v>19</v>
      </c>
      <c r="F416" s="8">
        <f t="array" ref="F416">INDEX('Лист2'!$D$2:$D$505, MATCH(A416&amp;B416, 'Лист2'!$A$2:$A$505&amp;'Лист2'!$B$2:$B$505, 0))</f>
        <v>2530</v>
      </c>
      <c r="G416" s="8">
        <f t="array" ref="G416">INDEX('Лист2'!$E$2:$E$505, MATCH(A416&amp;B416, 'Лист2'!$A$2:$A$505&amp;'Лист2'!$B$2:$B$505, 0))</f>
        <v>2270</v>
      </c>
      <c r="H416" s="9">
        <f t="shared" si="1"/>
        <v>2231.447368</v>
      </c>
      <c r="I416" s="9">
        <f t="shared" si="2"/>
        <v>20</v>
      </c>
      <c r="J416" s="10">
        <f t="shared" si="3"/>
        <v>0.07883304753</v>
      </c>
    </row>
    <row r="417" ht="14.25" customHeight="1">
      <c r="A417" s="11">
        <v>43969.0</v>
      </c>
      <c r="B417" s="12" t="s">
        <v>14</v>
      </c>
      <c r="C417" s="12">
        <v>28668.0</v>
      </c>
      <c r="D417" s="12">
        <v>2588148.0</v>
      </c>
      <c r="E417" s="8">
        <f t="array" ref="E417">INDEX('Лист2'!$C$2:$C$505, MATCH(A417&amp;B417, 'Лист2'!$A$2:$A$505&amp;'Лист2'!$B$2:$B$505, 0))</f>
        <v>19</v>
      </c>
      <c r="F417" s="8">
        <f t="array" ref="F417">INDEX('Лист2'!$D$2:$D$505, MATCH(A417&amp;B417, 'Лист2'!$A$2:$A$505&amp;'Лист2'!$B$2:$B$505, 0))</f>
        <v>1858</v>
      </c>
      <c r="G417" s="8">
        <f t="array" ref="G417">INDEX('Лист2'!$E$2:$E$505, MATCH(A417&amp;B417, 'Лист2'!$A$2:$A$505&amp;'Лист2'!$B$2:$B$505, 0))</f>
        <v>1648</v>
      </c>
      <c r="H417" s="9">
        <f t="shared" si="1"/>
        <v>1508.842105</v>
      </c>
      <c r="I417" s="9">
        <f t="shared" si="2"/>
        <v>21</v>
      </c>
      <c r="J417" s="10">
        <f t="shared" si="3"/>
        <v>0.05215559549</v>
      </c>
    </row>
    <row r="418" ht="14.25" customHeight="1">
      <c r="A418" s="6">
        <v>43965.0</v>
      </c>
      <c r="B418" s="7" t="s">
        <v>14</v>
      </c>
      <c r="C418" s="7">
        <v>27411.0</v>
      </c>
      <c r="D418" s="7">
        <v>2441520.0</v>
      </c>
      <c r="E418" s="8">
        <f t="array" ref="E418">INDEX('Лист2'!$C$2:$C$505, MATCH(A418&amp;B418, 'Лист2'!$A$2:$A$505&amp;'Лист2'!$B$2:$B$505, 0))</f>
        <v>19</v>
      </c>
      <c r="F418" s="8">
        <f t="array" ref="F418">INDEX('Лист2'!$D$2:$D$505, MATCH(A418&amp;B418, 'Лист2'!$A$2:$A$505&amp;'Лист2'!$B$2:$B$505, 0))</f>
        <v>1675</v>
      </c>
      <c r="G418" s="8">
        <f t="array" ref="G418">INDEX('Лист2'!$E$2:$E$505, MATCH(A418&amp;B418, 'Лист2'!$A$2:$A$505&amp;'Лист2'!$B$2:$B$505, 0))</f>
        <v>1475</v>
      </c>
      <c r="H418" s="9">
        <f t="shared" si="1"/>
        <v>1442.684211</v>
      </c>
      <c r="I418" s="9">
        <f t="shared" si="2"/>
        <v>20</v>
      </c>
      <c r="J418" s="10">
        <f t="shared" si="3"/>
        <v>0.04920079126</v>
      </c>
    </row>
    <row r="419" ht="14.25" customHeight="1">
      <c r="A419" s="11">
        <v>43966.0</v>
      </c>
      <c r="B419" s="12" t="s">
        <v>14</v>
      </c>
      <c r="C419" s="12">
        <v>32854.5</v>
      </c>
      <c r="D419" s="12">
        <v>2949078.0</v>
      </c>
      <c r="E419" s="8">
        <f t="array" ref="E419">INDEX('Лист2'!$C$2:$C$505, MATCH(A419&amp;B419, 'Лист2'!$A$2:$A$505&amp;'Лист2'!$B$2:$B$505, 0))</f>
        <v>19</v>
      </c>
      <c r="F419" s="8">
        <f t="array" ref="F419">INDEX('Лист2'!$D$2:$D$505, MATCH(A419&amp;B419, 'Лист2'!$A$2:$A$505&amp;'Лист2'!$B$2:$B$505, 0))</f>
        <v>1940</v>
      </c>
      <c r="G419" s="8">
        <f t="array" ref="G419">INDEX('Лист2'!$E$2:$E$505, MATCH(A419&amp;B419, 'Лист2'!$A$2:$A$505&amp;'Лист2'!$B$2:$B$505, 0))</f>
        <v>1715</v>
      </c>
      <c r="H419" s="9">
        <f t="shared" si="1"/>
        <v>1729.184211</v>
      </c>
      <c r="I419" s="9">
        <f t="shared" si="2"/>
        <v>20</v>
      </c>
      <c r="J419" s="10">
        <f t="shared" si="3"/>
        <v>0.05942895044</v>
      </c>
    </row>
    <row r="420" ht="14.25" customHeight="1">
      <c r="A420" s="6">
        <v>43980.0</v>
      </c>
      <c r="B420" s="7" t="s">
        <v>14</v>
      </c>
      <c r="C420" s="7">
        <v>35346.0</v>
      </c>
      <c r="D420" s="7">
        <v>3258054.0</v>
      </c>
      <c r="E420" s="8">
        <f t="array" ref="E420">INDEX('Лист2'!$C$2:$C$505, MATCH(A420&amp;B420, 'Лист2'!$A$2:$A$505&amp;'Лист2'!$B$2:$B$505, 0))</f>
        <v>20</v>
      </c>
      <c r="F420" s="8">
        <f t="array" ref="F420">INDEX('Лист2'!$D$2:$D$505, MATCH(A420&amp;B420, 'Лист2'!$A$2:$A$505&amp;'Лист2'!$B$2:$B$505, 0))</f>
        <v>2249</v>
      </c>
      <c r="G420" s="8">
        <f t="array" ref="G420">INDEX('Лист2'!$E$2:$E$505, MATCH(A420&amp;B420, 'Лист2'!$A$2:$A$505&amp;'Лист2'!$B$2:$B$505, 0))</f>
        <v>2000</v>
      </c>
      <c r="H420" s="9">
        <f t="shared" si="1"/>
        <v>1767.3</v>
      </c>
      <c r="I420" s="9">
        <f t="shared" si="2"/>
        <v>22</v>
      </c>
      <c r="J420" s="10">
        <f t="shared" si="3"/>
        <v>0.06565534371</v>
      </c>
    </row>
    <row r="421" ht="14.25" customHeight="1">
      <c r="A421" s="11">
        <v>43978.0</v>
      </c>
      <c r="B421" s="12" t="s">
        <v>15</v>
      </c>
      <c r="C421" s="12">
        <v>286558.5</v>
      </c>
      <c r="D421" s="12">
        <v>2.9256993E7</v>
      </c>
      <c r="E421" s="8">
        <f t="array" ref="E421">INDEX('Лист2'!$C$2:$C$505, MATCH(A421&amp;B421, 'Лист2'!$A$2:$A$505&amp;'Лист2'!$B$2:$B$505, 0))</f>
        <v>129</v>
      </c>
      <c r="F421" s="8">
        <f t="array" ref="F421">INDEX('Лист2'!$D$2:$D$505, MATCH(A421&amp;B421, 'Лист2'!$A$2:$A$505&amp;'Лист2'!$B$2:$B$505, 0))</f>
        <v>17115</v>
      </c>
      <c r="G421" s="8">
        <f t="array" ref="G421">INDEX('Лист2'!$E$2:$E$505, MATCH(A421&amp;B421, 'Лист2'!$A$2:$A$505&amp;'Лист2'!$B$2:$B$505, 0))</f>
        <v>15962</v>
      </c>
      <c r="H421" s="9">
        <f t="shared" si="1"/>
        <v>2221.383721</v>
      </c>
      <c r="I421" s="9">
        <f t="shared" si="2"/>
        <v>22</v>
      </c>
      <c r="J421" s="10">
        <f t="shared" si="3"/>
        <v>0.5895782977</v>
      </c>
    </row>
    <row r="422" ht="14.25" customHeight="1">
      <c r="A422" s="6">
        <v>43973.0</v>
      </c>
      <c r="B422" s="7" t="s">
        <v>15</v>
      </c>
      <c r="C422" s="7">
        <v>304092.0</v>
      </c>
      <c r="D422" s="7">
        <v>2.9465769E7</v>
      </c>
      <c r="E422" s="8">
        <f t="array" ref="E422">INDEX('Лист2'!$C$2:$C$505, MATCH(A422&amp;B422, 'Лист2'!$A$2:$A$505&amp;'Лист2'!$B$2:$B$505, 0))</f>
        <v>129</v>
      </c>
      <c r="F422" s="8">
        <f t="array" ref="F422">INDEX('Лист2'!$D$2:$D$505, MATCH(A422&amp;B422, 'Лист2'!$A$2:$A$505&amp;'Лист2'!$B$2:$B$505, 0))</f>
        <v>17088</v>
      </c>
      <c r="G422" s="8">
        <f t="array" ref="G422">INDEX('Лист2'!$E$2:$E$505, MATCH(A422&amp;B422, 'Лист2'!$A$2:$A$505&amp;'Лист2'!$B$2:$B$505, 0))</f>
        <v>15804</v>
      </c>
      <c r="H422" s="9">
        <f t="shared" si="1"/>
        <v>2357.302326</v>
      </c>
      <c r="I422" s="9">
        <f t="shared" si="2"/>
        <v>21</v>
      </c>
      <c r="J422" s="10">
        <f t="shared" si="3"/>
        <v>0.5937854901</v>
      </c>
    </row>
    <row r="423" ht="14.25" customHeight="1">
      <c r="A423" s="11">
        <v>43983.0</v>
      </c>
      <c r="B423" s="12" t="s">
        <v>15</v>
      </c>
      <c r="C423" s="12">
        <v>272926.5</v>
      </c>
      <c r="D423" s="12">
        <v>2.77700925E7</v>
      </c>
      <c r="E423" s="8">
        <f t="array" ref="E423">INDEX('Лист2'!$C$2:$C$505, MATCH(A423&amp;B423, 'Лист2'!$A$2:$A$505&amp;'Лист2'!$B$2:$B$505, 0))</f>
        <v>128</v>
      </c>
      <c r="F423" s="8">
        <f t="array" ref="F423">INDEX('Лист2'!$D$2:$D$505, MATCH(A423&amp;B423, 'Лист2'!$A$2:$A$505&amp;'Лист2'!$B$2:$B$505, 0))</f>
        <v>16285</v>
      </c>
      <c r="G423" s="8">
        <f t="array" ref="G423">INDEX('Лист2'!$E$2:$E$505, MATCH(A423&amp;B423, 'Лист2'!$A$2:$A$505&amp;'Лист2'!$B$2:$B$505, 0))</f>
        <v>15130</v>
      </c>
      <c r="H423" s="9">
        <f t="shared" si="1"/>
        <v>2132.238281</v>
      </c>
      <c r="I423" s="9">
        <f t="shared" si="2"/>
        <v>23</v>
      </c>
      <c r="J423" s="10">
        <f t="shared" si="3"/>
        <v>0.5596147172</v>
      </c>
    </row>
    <row r="424" ht="14.25" customHeight="1">
      <c r="A424" s="6">
        <v>43962.0</v>
      </c>
      <c r="B424" s="7" t="s">
        <v>15</v>
      </c>
      <c r="C424" s="7">
        <v>237099.0</v>
      </c>
      <c r="D424" s="7">
        <v>2.462823322395E7</v>
      </c>
      <c r="E424" s="8">
        <f t="array" ref="E424">INDEX('Лист2'!$C$2:$C$505, MATCH(A424&amp;B424, 'Лист2'!$A$2:$A$505&amp;'Лист2'!$B$2:$B$505, 0))</f>
        <v>129</v>
      </c>
      <c r="F424" s="8">
        <f t="array" ref="F424">INDEX('Лист2'!$D$2:$D$505, MATCH(A424&amp;B424, 'Лист2'!$A$2:$A$505&amp;'Лист2'!$B$2:$B$505, 0))</f>
        <v>14043</v>
      </c>
      <c r="G424" s="8">
        <f t="array" ref="G424">INDEX('Лист2'!$E$2:$E$505, MATCH(A424&amp;B424, 'Лист2'!$A$2:$A$505&amp;'Лист2'!$B$2:$B$505, 0))</f>
        <v>13167</v>
      </c>
      <c r="H424" s="9">
        <f t="shared" si="1"/>
        <v>1837.976744</v>
      </c>
      <c r="I424" s="9">
        <f t="shared" si="2"/>
        <v>20</v>
      </c>
      <c r="J424" s="10">
        <f t="shared" si="3"/>
        <v>0.4963008953</v>
      </c>
    </row>
    <row r="425" ht="14.25" customHeight="1">
      <c r="A425" s="11">
        <v>43969.0</v>
      </c>
      <c r="B425" s="12" t="s">
        <v>15</v>
      </c>
      <c r="C425" s="12">
        <v>273900.0</v>
      </c>
      <c r="D425" s="12">
        <v>2.7535284147600003E7</v>
      </c>
      <c r="E425" s="8">
        <f t="array" ref="E425">INDEX('Лист2'!$C$2:$C$505, MATCH(A425&amp;B425, 'Лист2'!$A$2:$A$505&amp;'Лист2'!$B$2:$B$505, 0))</f>
        <v>129</v>
      </c>
      <c r="F425" s="8">
        <f t="array" ref="F425">INDEX('Лист2'!$D$2:$D$505, MATCH(A425&amp;B425, 'Лист2'!$A$2:$A$505&amp;'Лист2'!$B$2:$B$505, 0))</f>
        <v>16110</v>
      </c>
      <c r="G425" s="8">
        <f t="array" ref="G425">INDEX('Лист2'!$E$2:$E$505, MATCH(A425&amp;B425, 'Лист2'!$A$2:$A$505&amp;'Лист2'!$B$2:$B$505, 0))</f>
        <v>14992</v>
      </c>
      <c r="H425" s="9">
        <f t="shared" si="1"/>
        <v>2123.255814</v>
      </c>
      <c r="I425" s="9">
        <f t="shared" si="2"/>
        <v>21</v>
      </c>
      <c r="J425" s="10">
        <f t="shared" si="3"/>
        <v>0.5548829285</v>
      </c>
    </row>
    <row r="426" ht="14.25" customHeight="1">
      <c r="A426" s="6">
        <v>43965.0</v>
      </c>
      <c r="B426" s="7" t="s">
        <v>15</v>
      </c>
      <c r="C426" s="7">
        <v>274059.0</v>
      </c>
      <c r="D426" s="7">
        <v>2.8181292E7</v>
      </c>
      <c r="E426" s="8">
        <f t="array" ref="E426">INDEX('Лист2'!$C$2:$C$505, MATCH(A426&amp;B426, 'Лист2'!$A$2:$A$505&amp;'Лист2'!$B$2:$B$505, 0))</f>
        <v>129</v>
      </c>
      <c r="F426" s="8">
        <f t="array" ref="F426">INDEX('Лист2'!$D$2:$D$505, MATCH(A426&amp;B426, 'Лист2'!$A$2:$A$505&amp;'Лист2'!$B$2:$B$505, 0))</f>
        <v>15804</v>
      </c>
      <c r="G426" s="8">
        <f t="array" ref="G426">INDEX('Лист2'!$E$2:$E$505, MATCH(A426&amp;B426, 'Лист2'!$A$2:$A$505&amp;'Лист2'!$B$2:$B$505, 0))</f>
        <v>14738</v>
      </c>
      <c r="H426" s="9">
        <f t="shared" si="1"/>
        <v>2124.488372</v>
      </c>
      <c r="I426" s="9">
        <f t="shared" si="2"/>
        <v>20</v>
      </c>
      <c r="J426" s="10">
        <f t="shared" si="3"/>
        <v>0.5679010883</v>
      </c>
    </row>
    <row r="427" ht="14.25" customHeight="1">
      <c r="A427" s="11">
        <v>43966.0</v>
      </c>
      <c r="B427" s="12" t="s">
        <v>15</v>
      </c>
      <c r="C427" s="12">
        <v>318816.0</v>
      </c>
      <c r="D427" s="12">
        <v>3.2354331E7</v>
      </c>
      <c r="E427" s="8">
        <f t="array" ref="E427">INDEX('Лист2'!$C$2:$C$505, MATCH(A427&amp;B427, 'Лист2'!$A$2:$A$505&amp;'Лист2'!$B$2:$B$505, 0))</f>
        <v>129</v>
      </c>
      <c r="F427" s="8">
        <f t="array" ref="F427">INDEX('Лист2'!$D$2:$D$505, MATCH(A427&amp;B427, 'Лист2'!$A$2:$A$505&amp;'Лист2'!$B$2:$B$505, 0))</f>
        <v>17808</v>
      </c>
      <c r="G427" s="8">
        <f t="array" ref="G427">INDEX('Лист2'!$E$2:$E$505, MATCH(A427&amp;B427, 'Лист2'!$A$2:$A$505&amp;'Лист2'!$B$2:$B$505, 0))</f>
        <v>16486</v>
      </c>
      <c r="H427" s="9">
        <f t="shared" si="1"/>
        <v>2471.44186</v>
      </c>
      <c r="I427" s="9">
        <f t="shared" si="2"/>
        <v>20</v>
      </c>
      <c r="J427" s="10">
        <f t="shared" si="3"/>
        <v>0.65199494</v>
      </c>
    </row>
    <row r="428" ht="14.25" customHeight="1">
      <c r="A428" s="6">
        <v>43978.0</v>
      </c>
      <c r="B428" s="7" t="s">
        <v>16</v>
      </c>
      <c r="C428" s="7">
        <v>370012.5</v>
      </c>
      <c r="D428" s="7">
        <v>3.90348615E7</v>
      </c>
      <c r="E428" s="8">
        <f t="array" ref="E428">INDEX('Лист2'!$C$2:$C$505, MATCH(A428&amp;B428, 'Лист2'!$A$2:$A$505&amp;'Лист2'!$B$2:$B$505, 0))</f>
        <v>124</v>
      </c>
      <c r="F428" s="8">
        <f t="array" ref="F428">INDEX('Лист2'!$D$2:$D$505, MATCH(A428&amp;B428, 'Лист2'!$A$2:$A$505&amp;'Лист2'!$B$2:$B$505, 0))</f>
        <v>21384</v>
      </c>
      <c r="G428" s="8">
        <f t="array" ref="G428">INDEX('Лист2'!$E$2:$E$505, MATCH(A428&amp;B428, 'Лист2'!$A$2:$A$505&amp;'Лист2'!$B$2:$B$505, 0))</f>
        <v>19897</v>
      </c>
      <c r="H428" s="9">
        <f t="shared" si="1"/>
        <v>2983.971774</v>
      </c>
      <c r="I428" s="9">
        <f t="shared" si="2"/>
        <v>22</v>
      </c>
      <c r="J428" s="10">
        <f t="shared" si="3"/>
        <v>0.7866190212</v>
      </c>
    </row>
    <row r="429" ht="14.25" customHeight="1">
      <c r="A429" s="11">
        <v>43973.0</v>
      </c>
      <c r="B429" s="12" t="s">
        <v>16</v>
      </c>
      <c r="C429" s="12">
        <v>393018.0</v>
      </c>
      <c r="D429" s="12">
        <v>3.94983735E7</v>
      </c>
      <c r="E429" s="8">
        <f t="array" ref="E429">INDEX('Лист2'!$C$2:$C$505, MATCH(A429&amp;B429, 'Лист2'!$A$2:$A$505&amp;'Лист2'!$B$2:$B$505, 0))</f>
        <v>125</v>
      </c>
      <c r="F429" s="8">
        <f t="array" ref="F429">INDEX('Лист2'!$D$2:$D$505, MATCH(A429&amp;B429, 'Лист2'!$A$2:$A$505&amp;'Лист2'!$B$2:$B$505, 0))</f>
        <v>21427</v>
      </c>
      <c r="G429" s="8">
        <f t="array" ref="G429">INDEX('Лист2'!$E$2:$E$505, MATCH(A429&amp;B429, 'Лист2'!$A$2:$A$505&amp;'Лист2'!$B$2:$B$505, 0))</f>
        <v>19799</v>
      </c>
      <c r="H429" s="9">
        <f t="shared" si="1"/>
        <v>3144.144</v>
      </c>
      <c r="I429" s="9">
        <f t="shared" si="2"/>
        <v>21</v>
      </c>
      <c r="J429" s="10">
        <f t="shared" si="3"/>
        <v>0.7959595783</v>
      </c>
    </row>
    <row r="430" ht="14.25" customHeight="1">
      <c r="A430" s="6">
        <v>43983.0</v>
      </c>
      <c r="B430" s="7" t="s">
        <v>16</v>
      </c>
      <c r="C430" s="7">
        <v>349699.5</v>
      </c>
      <c r="D430" s="7">
        <v>3.725784018135E7</v>
      </c>
      <c r="E430" s="8">
        <f t="array" ref="E430">INDEX('Лист2'!$C$2:$C$505, MATCH(A430&amp;B430, 'Лист2'!$A$2:$A$505&amp;'Лист2'!$B$2:$B$505, 0))</f>
        <v>123</v>
      </c>
      <c r="F430" s="8">
        <f t="array" ref="F430">INDEX('Лист2'!$D$2:$D$505, MATCH(A430&amp;B430, 'Лист2'!$A$2:$A$505&amp;'Лист2'!$B$2:$B$505, 0))</f>
        <v>20325</v>
      </c>
      <c r="G430" s="8">
        <f t="array" ref="G430">INDEX('Лист2'!$E$2:$E$505, MATCH(A430&amp;B430, 'Лист2'!$A$2:$A$505&amp;'Лист2'!$B$2:$B$505, 0))</f>
        <v>18935</v>
      </c>
      <c r="H430" s="9">
        <f t="shared" si="1"/>
        <v>2843.085366</v>
      </c>
      <c r="I430" s="9">
        <f t="shared" si="2"/>
        <v>23</v>
      </c>
      <c r="J430" s="10">
        <f t="shared" si="3"/>
        <v>0.7508090114</v>
      </c>
    </row>
    <row r="431" ht="14.25" customHeight="1">
      <c r="A431" s="11">
        <v>43962.0</v>
      </c>
      <c r="B431" s="12" t="s">
        <v>16</v>
      </c>
      <c r="C431" s="12">
        <v>318565.5</v>
      </c>
      <c r="D431" s="12">
        <v>3.3781581E7</v>
      </c>
      <c r="E431" s="8">
        <f t="array" ref="E431">INDEX('Лист2'!$C$2:$C$505, MATCH(A431&amp;B431, 'Лист2'!$A$2:$A$505&amp;'Лист2'!$B$2:$B$505, 0))</f>
        <v>125</v>
      </c>
      <c r="F431" s="8">
        <f t="array" ref="F431">INDEX('Лист2'!$D$2:$D$505, MATCH(A431&amp;B431, 'Лист2'!$A$2:$A$505&amp;'Лист2'!$B$2:$B$505, 0))</f>
        <v>18066</v>
      </c>
      <c r="G431" s="8">
        <f t="array" ref="G431">INDEX('Лист2'!$E$2:$E$505, MATCH(A431&amp;B431, 'Лист2'!$A$2:$A$505&amp;'Лист2'!$B$2:$B$505, 0))</f>
        <v>16883</v>
      </c>
      <c r="H431" s="9">
        <f t="shared" si="1"/>
        <v>2548.524</v>
      </c>
      <c r="I431" s="9">
        <f t="shared" si="2"/>
        <v>20</v>
      </c>
      <c r="J431" s="10">
        <f t="shared" si="3"/>
        <v>0.6807564612</v>
      </c>
    </row>
    <row r="432" ht="14.25" customHeight="1">
      <c r="A432" s="6">
        <v>43980.0</v>
      </c>
      <c r="B432" s="7" t="s">
        <v>15</v>
      </c>
      <c r="C432" s="7">
        <v>422965.5</v>
      </c>
      <c r="D432" s="7">
        <v>4.1767140105000004E7</v>
      </c>
      <c r="E432" s="8">
        <f t="array" ref="E432">INDEX('Лист2'!$C$2:$C$505, MATCH(A432&amp;B432, 'Лист2'!$A$2:$A$505&amp;'Лист2'!$B$2:$B$505, 0))</f>
        <v>129</v>
      </c>
      <c r="F432" s="8">
        <f t="array" ref="F432">INDEX('Лист2'!$D$2:$D$505, MATCH(A432&amp;B432, 'Лист2'!$A$2:$A$505&amp;'Лист2'!$B$2:$B$505, 0))</f>
        <v>22403</v>
      </c>
      <c r="G432" s="8">
        <f t="array" ref="G432">INDEX('Лист2'!$E$2:$E$505, MATCH(A432&amp;B432, 'Лист2'!$A$2:$A$505&amp;'Лист2'!$B$2:$B$505, 0))</f>
        <v>20676</v>
      </c>
      <c r="H432" s="9">
        <f t="shared" si="1"/>
        <v>3278.802326</v>
      </c>
      <c r="I432" s="9">
        <f t="shared" si="2"/>
        <v>22</v>
      </c>
      <c r="J432" s="10">
        <f t="shared" si="3"/>
        <v>0.8416790941</v>
      </c>
    </row>
    <row r="433" ht="14.25" customHeight="1">
      <c r="A433" s="11">
        <v>43969.0</v>
      </c>
      <c r="B433" s="12" t="s">
        <v>16</v>
      </c>
      <c r="C433" s="12">
        <v>355081.5</v>
      </c>
      <c r="D433" s="12">
        <v>3.6876888E7</v>
      </c>
      <c r="E433" s="8">
        <f t="array" ref="E433">INDEX('Лист2'!$C$2:$C$505, MATCH(A433&amp;B433, 'Лист2'!$A$2:$A$505&amp;'Лист2'!$B$2:$B$505, 0))</f>
        <v>125</v>
      </c>
      <c r="F433" s="8">
        <f t="array" ref="F433">INDEX('Лист2'!$D$2:$D$505, MATCH(A433&amp;B433, 'Лист2'!$A$2:$A$505&amp;'Лист2'!$B$2:$B$505, 0))</f>
        <v>20449</v>
      </c>
      <c r="G433" s="8">
        <f t="array" ref="G433">INDEX('Лист2'!$E$2:$E$505, MATCH(A433&amp;B433, 'Лист2'!$A$2:$A$505&amp;'Лист2'!$B$2:$B$505, 0))</f>
        <v>19060</v>
      </c>
      <c r="H433" s="9">
        <f t="shared" si="1"/>
        <v>2840.652</v>
      </c>
      <c r="I433" s="9">
        <f t="shared" si="2"/>
        <v>21</v>
      </c>
      <c r="J433" s="10">
        <f t="shared" si="3"/>
        <v>0.7431321754</v>
      </c>
    </row>
    <row r="434" ht="14.25" customHeight="1">
      <c r="A434" s="6">
        <v>43965.0</v>
      </c>
      <c r="B434" s="7" t="s">
        <v>16</v>
      </c>
      <c r="C434" s="7">
        <v>358387.5</v>
      </c>
      <c r="D434" s="7">
        <v>3.79631505E7</v>
      </c>
      <c r="E434" s="8">
        <f t="array" ref="E434">INDEX('Лист2'!$C$2:$C$505, MATCH(A434&amp;B434, 'Лист2'!$A$2:$A$505&amp;'Лист2'!$B$2:$B$505, 0))</f>
        <v>125</v>
      </c>
      <c r="F434" s="8">
        <f t="array" ref="F434">INDEX('Лист2'!$D$2:$D$505, MATCH(A434&amp;B434, 'Лист2'!$A$2:$A$505&amp;'Лист2'!$B$2:$B$505, 0))</f>
        <v>20247</v>
      </c>
      <c r="G434" s="8">
        <f t="array" ref="G434">INDEX('Лист2'!$E$2:$E$505, MATCH(A434&amp;B434, 'Лист2'!$A$2:$A$505&amp;'Лист2'!$B$2:$B$505, 0))</f>
        <v>18812</v>
      </c>
      <c r="H434" s="9">
        <f t="shared" si="1"/>
        <v>2867.1</v>
      </c>
      <c r="I434" s="9">
        <f t="shared" si="2"/>
        <v>20</v>
      </c>
      <c r="J434" s="10">
        <f t="shared" si="3"/>
        <v>0.765022217</v>
      </c>
    </row>
    <row r="435" ht="14.25" customHeight="1">
      <c r="A435" s="11">
        <v>43966.0</v>
      </c>
      <c r="B435" s="12" t="s">
        <v>16</v>
      </c>
      <c r="C435" s="12">
        <v>403261.5</v>
      </c>
      <c r="D435" s="12">
        <v>4.2271377E7</v>
      </c>
      <c r="E435" s="8">
        <f t="array" ref="E435">INDEX('Лист2'!$C$2:$C$505, MATCH(A435&amp;B435, 'Лист2'!$A$2:$A$505&amp;'Лист2'!$B$2:$B$505, 0))</f>
        <v>125</v>
      </c>
      <c r="F435" s="8">
        <f t="array" ref="F435">INDEX('Лист2'!$D$2:$D$505, MATCH(A435&amp;B435, 'Лист2'!$A$2:$A$505&amp;'Лист2'!$B$2:$B$505, 0))</f>
        <v>21862</v>
      </c>
      <c r="G435" s="8">
        <f t="array" ref="G435">INDEX('Лист2'!$E$2:$E$505, MATCH(A435&amp;B435, 'Лист2'!$A$2:$A$505&amp;'Лист2'!$B$2:$B$505, 0))</f>
        <v>20235</v>
      </c>
      <c r="H435" s="9">
        <f t="shared" si="1"/>
        <v>3226.092</v>
      </c>
      <c r="I435" s="9">
        <f t="shared" si="2"/>
        <v>20</v>
      </c>
      <c r="J435" s="10">
        <f t="shared" si="3"/>
        <v>0.8518403274</v>
      </c>
    </row>
    <row r="436" ht="14.25" customHeight="1">
      <c r="A436" s="6">
        <v>43978.0</v>
      </c>
      <c r="B436" s="7" t="s">
        <v>17</v>
      </c>
      <c r="C436" s="7">
        <v>69010.5</v>
      </c>
      <c r="D436" s="7">
        <v>5985894.0</v>
      </c>
      <c r="E436" s="8">
        <f t="array" ref="E436">INDEX('Лист2'!$C$2:$C$505, MATCH(A436&amp;B436, 'Лист2'!$A$2:$A$505&amp;'Лист2'!$B$2:$B$505, 0))</f>
        <v>36</v>
      </c>
      <c r="F436" s="8">
        <f t="array" ref="F436">INDEX('Лист2'!$D$2:$D$505, MATCH(A436&amp;B436, 'Лист2'!$A$2:$A$505&amp;'Лист2'!$B$2:$B$505, 0))</f>
        <v>4951</v>
      </c>
      <c r="G436" s="8">
        <f t="array" ref="G436">INDEX('Лист2'!$E$2:$E$505, MATCH(A436&amp;B436, 'Лист2'!$A$2:$A$505&amp;'Лист2'!$B$2:$B$505, 0))</f>
        <v>4584</v>
      </c>
      <c r="H436" s="9">
        <f t="shared" si="1"/>
        <v>1916.958333</v>
      </c>
      <c r="I436" s="9">
        <f t="shared" si="2"/>
        <v>22</v>
      </c>
      <c r="J436" s="10">
        <f t="shared" si="3"/>
        <v>0.1206259712</v>
      </c>
    </row>
    <row r="437" ht="14.25" customHeight="1">
      <c r="A437" s="11">
        <v>43973.0</v>
      </c>
      <c r="B437" s="12" t="s">
        <v>17</v>
      </c>
      <c r="C437" s="12">
        <v>75820.5</v>
      </c>
      <c r="D437" s="12">
        <v>5943489.0</v>
      </c>
      <c r="E437" s="8">
        <f t="array" ref="E437">INDEX('Лист2'!$C$2:$C$505, MATCH(A437&amp;B437, 'Лист2'!$A$2:$A$505&amp;'Лист2'!$B$2:$B$505, 0))</f>
        <v>36</v>
      </c>
      <c r="F437" s="8">
        <f t="array" ref="F437">INDEX('Лист2'!$D$2:$D$505, MATCH(A437&amp;B437, 'Лист2'!$A$2:$A$505&amp;'Лист2'!$B$2:$B$505, 0))</f>
        <v>4857</v>
      </c>
      <c r="G437" s="8">
        <f t="array" ref="G437">INDEX('Лист2'!$E$2:$E$505, MATCH(A437&amp;B437, 'Лист2'!$A$2:$A$505&amp;'Лист2'!$B$2:$B$505, 0))</f>
        <v>4456</v>
      </c>
      <c r="H437" s="9">
        <f t="shared" si="1"/>
        <v>2106.125</v>
      </c>
      <c r="I437" s="9">
        <f t="shared" si="2"/>
        <v>21</v>
      </c>
      <c r="J437" s="10">
        <f t="shared" si="3"/>
        <v>0.1197714381</v>
      </c>
    </row>
    <row r="438" ht="14.25" customHeight="1">
      <c r="A438" s="6">
        <v>43983.0</v>
      </c>
      <c r="B438" s="7" t="s">
        <v>17</v>
      </c>
      <c r="C438" s="7">
        <v>64740.0</v>
      </c>
      <c r="D438" s="7">
        <v>5800290.0</v>
      </c>
      <c r="E438" s="8">
        <f t="array" ref="E438">INDEX('Лист2'!$C$2:$C$505, MATCH(A438&amp;B438, 'Лист2'!$A$2:$A$505&amp;'Лист2'!$B$2:$B$505, 0))</f>
        <v>37</v>
      </c>
      <c r="F438" s="8">
        <f t="array" ref="F438">INDEX('Лист2'!$D$2:$D$505, MATCH(A438&amp;B438, 'Лист2'!$A$2:$A$505&amp;'Лист2'!$B$2:$B$505, 0))</f>
        <v>4722</v>
      </c>
      <c r="G438" s="8">
        <f t="array" ref="G438">INDEX('Лист2'!$E$2:$E$505, MATCH(A438&amp;B438, 'Лист2'!$A$2:$A$505&amp;'Лист2'!$B$2:$B$505, 0))</f>
        <v>4352</v>
      </c>
      <c r="H438" s="9">
        <f t="shared" si="1"/>
        <v>1749.72973</v>
      </c>
      <c r="I438" s="9">
        <f t="shared" si="2"/>
        <v>23</v>
      </c>
      <c r="J438" s="10">
        <f t="shared" si="3"/>
        <v>0.1168857341</v>
      </c>
    </row>
    <row r="439" ht="14.25" customHeight="1">
      <c r="A439" s="11">
        <v>43962.0</v>
      </c>
      <c r="B439" s="12" t="s">
        <v>17</v>
      </c>
      <c r="C439" s="12">
        <v>59574.0</v>
      </c>
      <c r="D439" s="12">
        <v>5178169.5</v>
      </c>
      <c r="E439" s="8">
        <f t="array" ref="E439">INDEX('Лист2'!$C$2:$C$505, MATCH(A439&amp;B439, 'Лист2'!$A$2:$A$505&amp;'Лист2'!$B$2:$B$505, 0))</f>
        <v>36</v>
      </c>
      <c r="F439" s="8">
        <f t="array" ref="F439">INDEX('Лист2'!$D$2:$D$505, MATCH(A439&amp;B439, 'Лист2'!$A$2:$A$505&amp;'Лист2'!$B$2:$B$505, 0))</f>
        <v>4150</v>
      </c>
      <c r="G439" s="8">
        <f t="array" ref="G439">INDEX('Лист2'!$E$2:$E$505, MATCH(A439&amp;B439, 'Лист2'!$A$2:$A$505&amp;'Лист2'!$B$2:$B$505, 0))</f>
        <v>3838</v>
      </c>
      <c r="H439" s="9">
        <f t="shared" si="1"/>
        <v>1654.833333</v>
      </c>
      <c r="I439" s="9">
        <f t="shared" si="2"/>
        <v>20</v>
      </c>
      <c r="J439" s="10">
        <f t="shared" si="3"/>
        <v>0.1043489452</v>
      </c>
    </row>
    <row r="440" ht="14.25" customHeight="1">
      <c r="A440" s="6">
        <v>43980.0</v>
      </c>
      <c r="B440" s="7" t="s">
        <v>16</v>
      </c>
      <c r="C440" s="7">
        <v>524481.0</v>
      </c>
      <c r="D440" s="7">
        <v>5.4172029E7</v>
      </c>
      <c r="E440" s="8">
        <f t="array" ref="E440">INDEX('Лист2'!$C$2:$C$505, MATCH(A440&amp;B440, 'Лист2'!$A$2:$A$505&amp;'Лист2'!$B$2:$B$505, 0))</f>
        <v>124</v>
      </c>
      <c r="F440" s="8">
        <f t="array" ref="F440">INDEX('Лист2'!$D$2:$D$505, MATCH(A440&amp;B440, 'Лист2'!$A$2:$A$505&amp;'Лист2'!$B$2:$B$505, 0))</f>
        <v>25828</v>
      </c>
      <c r="G440" s="8">
        <f t="array" ref="G440">INDEX('Лист2'!$E$2:$E$505, MATCH(A440&amp;B440, 'Лист2'!$A$2:$A$505&amp;'Лист2'!$B$2:$B$505, 0))</f>
        <v>23974</v>
      </c>
      <c r="H440" s="9">
        <f t="shared" si="1"/>
        <v>4229.685484</v>
      </c>
      <c r="I440" s="9">
        <f t="shared" si="2"/>
        <v>22</v>
      </c>
      <c r="J440" s="10">
        <f t="shared" si="3"/>
        <v>1.091658758</v>
      </c>
    </row>
    <row r="441" ht="14.25" customHeight="1">
      <c r="A441" s="11">
        <v>43969.0</v>
      </c>
      <c r="B441" s="12" t="s">
        <v>17</v>
      </c>
      <c r="C441" s="12">
        <v>70278.0</v>
      </c>
      <c r="D441" s="12">
        <v>5798476.5</v>
      </c>
      <c r="E441" s="8">
        <f t="array" ref="E441">INDEX('Лист2'!$C$2:$C$505, MATCH(A441&amp;B441, 'Лист2'!$A$2:$A$505&amp;'Лист2'!$B$2:$B$505, 0))</f>
        <v>36</v>
      </c>
      <c r="F441" s="8">
        <f t="array" ref="F441">INDEX('Лист2'!$D$2:$D$505, MATCH(A441&amp;B441, 'Лист2'!$A$2:$A$505&amp;'Лист2'!$B$2:$B$505, 0))</f>
        <v>4885</v>
      </c>
      <c r="G441" s="8">
        <f t="array" ref="G441">INDEX('Лист2'!$E$2:$E$505, MATCH(A441&amp;B441, 'Лист2'!$A$2:$A$505&amp;'Лист2'!$B$2:$B$505, 0))</f>
        <v>4502</v>
      </c>
      <c r="H441" s="9">
        <f t="shared" si="1"/>
        <v>1952.166667</v>
      </c>
      <c r="I441" s="9">
        <f t="shared" si="2"/>
        <v>21</v>
      </c>
      <c r="J441" s="10">
        <f t="shared" si="3"/>
        <v>0.116849189</v>
      </c>
    </row>
    <row r="442" ht="14.25" customHeight="1">
      <c r="A442" s="6">
        <v>43965.0</v>
      </c>
      <c r="B442" s="7" t="s">
        <v>17</v>
      </c>
      <c r="C442" s="7">
        <v>63645.0</v>
      </c>
      <c r="D442" s="7">
        <v>5366602.5</v>
      </c>
      <c r="E442" s="8">
        <f t="array" ref="E442">INDEX('Лист2'!$C$2:$C$505, MATCH(A442&amp;B442, 'Лист2'!$A$2:$A$505&amp;'Лист2'!$B$2:$B$505, 0))</f>
        <v>36</v>
      </c>
      <c r="F442" s="8">
        <f t="array" ref="F442">INDEX('Лист2'!$D$2:$D$505, MATCH(A442&amp;B442, 'Лист2'!$A$2:$A$505&amp;'Лист2'!$B$2:$B$505, 0))</f>
        <v>4285</v>
      </c>
      <c r="G442" s="8">
        <f t="array" ref="G442">INDEX('Лист2'!$E$2:$E$505, MATCH(A442&amp;B442, 'Лист2'!$A$2:$A$505&amp;'Лист2'!$B$2:$B$505, 0))</f>
        <v>3950</v>
      </c>
      <c r="H442" s="9">
        <f t="shared" si="1"/>
        <v>1767.916667</v>
      </c>
      <c r="I442" s="9">
        <f t="shared" si="2"/>
        <v>20</v>
      </c>
      <c r="J442" s="10">
        <f t="shared" si="3"/>
        <v>0.1081461915</v>
      </c>
    </row>
    <row r="443" ht="14.25" customHeight="1">
      <c r="A443" s="11">
        <v>43966.0</v>
      </c>
      <c r="B443" s="12" t="s">
        <v>17</v>
      </c>
      <c r="C443" s="12">
        <v>75642.0</v>
      </c>
      <c r="D443" s="12">
        <v>6293952.0</v>
      </c>
      <c r="E443" s="8">
        <f t="array" ref="E443">INDEX('Лист2'!$C$2:$C$505, MATCH(A443&amp;B443, 'Лист2'!$A$2:$A$505&amp;'Лист2'!$B$2:$B$505, 0))</f>
        <v>36</v>
      </c>
      <c r="F443" s="8">
        <f t="array" ref="F443">INDEX('Лист2'!$D$2:$D$505, MATCH(A443&amp;B443, 'Лист2'!$A$2:$A$505&amp;'Лист2'!$B$2:$B$505, 0))</f>
        <v>4862</v>
      </c>
      <c r="G443" s="8">
        <f t="array" ref="G443">INDEX('Лист2'!$E$2:$E$505, MATCH(A443&amp;B443, 'Лист2'!$A$2:$A$505&amp;'Лист2'!$B$2:$B$505, 0))</f>
        <v>4476</v>
      </c>
      <c r="H443" s="9">
        <f t="shared" si="1"/>
        <v>2101.166667</v>
      </c>
      <c r="I443" s="9">
        <f t="shared" si="2"/>
        <v>20</v>
      </c>
      <c r="J443" s="10">
        <f t="shared" si="3"/>
        <v>0.1268338652</v>
      </c>
    </row>
    <row r="444" ht="14.25" customHeight="1">
      <c r="A444" s="6">
        <v>43978.0</v>
      </c>
      <c r="B444" s="7" t="s">
        <v>18</v>
      </c>
      <c r="C444" s="7">
        <v>40420.5</v>
      </c>
      <c r="D444" s="7">
        <v>3780852.0</v>
      </c>
      <c r="E444" s="8">
        <f t="array" ref="E444">INDEX('Лист2'!$C$2:$C$505, MATCH(A444&amp;B444, 'Лист2'!$A$2:$A$505&amp;'Лист2'!$B$2:$B$505, 0))</f>
        <v>21</v>
      </c>
      <c r="F444" s="8">
        <f t="array" ref="F444">INDEX('Лист2'!$D$2:$D$505, MATCH(A444&amp;B444, 'Лист2'!$A$2:$A$505&amp;'Лист2'!$B$2:$B$505, 0))</f>
        <v>2430</v>
      </c>
      <c r="G444" s="8">
        <f t="array" ref="G444">INDEX('Лист2'!$E$2:$E$505, MATCH(A444&amp;B444, 'Лист2'!$A$2:$A$505&amp;'Лист2'!$B$2:$B$505, 0))</f>
        <v>2216</v>
      </c>
      <c r="H444" s="9">
        <f t="shared" si="1"/>
        <v>1924.785714</v>
      </c>
      <c r="I444" s="9">
        <f t="shared" si="2"/>
        <v>22</v>
      </c>
      <c r="J444" s="10">
        <f t="shared" si="3"/>
        <v>0.07619061488</v>
      </c>
    </row>
    <row r="445" ht="14.25" customHeight="1">
      <c r="A445" s="11">
        <v>43973.0</v>
      </c>
      <c r="B445" s="12" t="s">
        <v>18</v>
      </c>
      <c r="C445" s="12">
        <v>53838.0</v>
      </c>
      <c r="D445" s="12">
        <v>4840833.0</v>
      </c>
      <c r="E445" s="8">
        <f t="array" ref="E445">INDEX('Лист2'!$C$2:$C$505, MATCH(A445&amp;B445, 'Лист2'!$A$2:$A$505&amp;'Лист2'!$B$2:$B$505, 0))</f>
        <v>21</v>
      </c>
      <c r="F445" s="8">
        <f t="array" ref="F445">INDEX('Лист2'!$D$2:$D$505, MATCH(A445&amp;B445, 'Лист2'!$A$2:$A$505&amp;'Лист2'!$B$2:$B$505, 0))</f>
        <v>2861</v>
      </c>
      <c r="G445" s="8">
        <f t="array" ref="G445">INDEX('Лист2'!$E$2:$E$505, MATCH(A445&amp;B445, 'Лист2'!$A$2:$A$505&amp;'Лист2'!$B$2:$B$505, 0))</f>
        <v>2612</v>
      </c>
      <c r="H445" s="9">
        <f t="shared" si="1"/>
        <v>2563.714286</v>
      </c>
      <c r="I445" s="9">
        <f t="shared" si="2"/>
        <v>21</v>
      </c>
      <c r="J445" s="10">
        <f t="shared" si="3"/>
        <v>0.0975510395</v>
      </c>
    </row>
    <row r="446" ht="14.25" customHeight="1">
      <c r="A446" s="6">
        <v>43983.0</v>
      </c>
      <c r="B446" s="7" t="s">
        <v>18</v>
      </c>
      <c r="C446" s="7">
        <v>40528.5</v>
      </c>
      <c r="D446" s="7">
        <v>3865251.0</v>
      </c>
      <c r="E446" s="8">
        <f t="array" ref="E446">INDEX('Лист2'!$C$2:$C$505, MATCH(A446&amp;B446, 'Лист2'!$A$2:$A$505&amp;'Лист2'!$B$2:$B$505, 0))</f>
        <v>23</v>
      </c>
      <c r="F446" s="8">
        <f t="array" ref="F446">INDEX('Лист2'!$D$2:$D$505, MATCH(A446&amp;B446, 'Лист2'!$A$2:$A$505&amp;'Лист2'!$B$2:$B$505, 0))</f>
        <v>2531</v>
      </c>
      <c r="G446" s="8">
        <f t="array" ref="G446">INDEX('Лист2'!$E$2:$E$505, MATCH(A446&amp;B446, 'Лист2'!$A$2:$A$505&amp;'Лист2'!$B$2:$B$505, 0))</f>
        <v>2296</v>
      </c>
      <c r="H446" s="9">
        <f t="shared" si="1"/>
        <v>1762.108696</v>
      </c>
      <c r="I446" s="9">
        <f t="shared" si="2"/>
        <v>23</v>
      </c>
      <c r="J446" s="10">
        <f t="shared" si="3"/>
        <v>0.07789139865</v>
      </c>
    </row>
    <row r="447" ht="14.25" customHeight="1">
      <c r="A447" s="11">
        <v>43962.0</v>
      </c>
      <c r="B447" s="12" t="s">
        <v>18</v>
      </c>
      <c r="C447" s="12">
        <v>32733.0</v>
      </c>
      <c r="D447" s="12">
        <v>3079630.5</v>
      </c>
      <c r="E447" s="8">
        <f t="array" ref="E447">INDEX('Лист2'!$C$2:$C$505, MATCH(A447&amp;B447, 'Лист2'!$A$2:$A$505&amp;'Лист2'!$B$2:$B$505, 0))</f>
        <v>21</v>
      </c>
      <c r="F447" s="8">
        <f t="array" ref="F447">INDEX('Лист2'!$D$2:$D$505, MATCH(A447&amp;B447, 'Лист2'!$A$2:$A$505&amp;'Лист2'!$B$2:$B$505, 0))</f>
        <v>1916</v>
      </c>
      <c r="G447" s="8">
        <f t="array" ref="G447">INDEX('Лист2'!$E$2:$E$505, MATCH(A447&amp;B447, 'Лист2'!$A$2:$A$505&amp;'Лист2'!$B$2:$B$505, 0))</f>
        <v>1733</v>
      </c>
      <c r="H447" s="9">
        <f t="shared" si="1"/>
        <v>1558.714286</v>
      </c>
      <c r="I447" s="9">
        <f t="shared" si="2"/>
        <v>20</v>
      </c>
      <c r="J447" s="10">
        <f t="shared" si="3"/>
        <v>0.06205980594</v>
      </c>
    </row>
    <row r="448" ht="14.25" customHeight="1">
      <c r="A448" s="6">
        <v>43980.0</v>
      </c>
      <c r="B448" s="7" t="s">
        <v>17</v>
      </c>
      <c r="C448" s="7">
        <v>84433.5</v>
      </c>
      <c r="D448" s="7">
        <v>7228395.0</v>
      </c>
      <c r="E448" s="8">
        <f t="array" ref="E448">INDEX('Лист2'!$C$2:$C$505, MATCH(A448&amp;B448, 'Лист2'!$A$2:$A$505&amp;'Лист2'!$B$2:$B$505, 0))</f>
        <v>37</v>
      </c>
      <c r="F448" s="8">
        <f t="array" ref="F448">INDEX('Лист2'!$D$2:$D$505, MATCH(A448&amp;B448, 'Лист2'!$A$2:$A$505&amp;'Лист2'!$B$2:$B$505, 0))</f>
        <v>5672</v>
      </c>
      <c r="G448" s="8">
        <f t="array" ref="G448">INDEX('Лист2'!$E$2:$E$505, MATCH(A448&amp;B448, 'Лист2'!$A$2:$A$505&amp;'Лист2'!$B$2:$B$505, 0))</f>
        <v>5198</v>
      </c>
      <c r="H448" s="9">
        <f t="shared" si="1"/>
        <v>2281.986486</v>
      </c>
      <c r="I448" s="9">
        <f t="shared" si="2"/>
        <v>22</v>
      </c>
      <c r="J448" s="10">
        <f t="shared" si="3"/>
        <v>0.1456644851</v>
      </c>
    </row>
    <row r="449" ht="14.25" customHeight="1">
      <c r="A449" s="11">
        <v>43969.0</v>
      </c>
      <c r="B449" s="12" t="s">
        <v>18</v>
      </c>
      <c r="C449" s="12">
        <v>36655.5</v>
      </c>
      <c r="D449" s="12">
        <v>3360135.0</v>
      </c>
      <c r="E449" s="8">
        <f t="array" ref="E449">INDEX('Лист2'!$C$2:$C$505, MATCH(A449&amp;B449, 'Лист2'!$A$2:$A$505&amp;'Лист2'!$B$2:$B$505, 0))</f>
        <v>21</v>
      </c>
      <c r="F449" s="8">
        <f t="array" ref="F449">INDEX('Лист2'!$D$2:$D$505, MATCH(A449&amp;B449, 'Лист2'!$A$2:$A$505&amp;'Лист2'!$B$2:$B$505, 0))</f>
        <v>2136</v>
      </c>
      <c r="G449" s="8">
        <f t="array" ref="G449">INDEX('Лист2'!$E$2:$E$505, MATCH(A449&amp;B449, 'Лист2'!$A$2:$A$505&amp;'Лист2'!$B$2:$B$505, 0))</f>
        <v>1947</v>
      </c>
      <c r="H449" s="9">
        <f t="shared" si="1"/>
        <v>1745.5</v>
      </c>
      <c r="I449" s="9">
        <f t="shared" si="2"/>
        <v>21</v>
      </c>
      <c r="J449" s="10">
        <f t="shared" si="3"/>
        <v>0.06771244993</v>
      </c>
    </row>
    <row r="450" ht="14.25" customHeight="1">
      <c r="A450" s="6">
        <v>43965.0</v>
      </c>
      <c r="B450" s="7" t="s">
        <v>18</v>
      </c>
      <c r="C450" s="7">
        <v>33886.5</v>
      </c>
      <c r="D450" s="7">
        <v>3166479.0</v>
      </c>
      <c r="E450" s="8">
        <f t="array" ref="E450">INDEX('Лист2'!$C$2:$C$505, MATCH(A450&amp;B450, 'Лист2'!$A$2:$A$505&amp;'Лист2'!$B$2:$B$505, 0))</f>
        <v>21</v>
      </c>
      <c r="F450" s="8">
        <f t="array" ref="F450">INDEX('Лист2'!$D$2:$D$505, MATCH(A450&amp;B450, 'Лист2'!$A$2:$A$505&amp;'Лист2'!$B$2:$B$505, 0))</f>
        <v>1993</v>
      </c>
      <c r="G450" s="8">
        <f t="array" ref="G450">INDEX('Лист2'!$E$2:$E$505, MATCH(A450&amp;B450, 'Лист2'!$A$2:$A$505&amp;'Лист2'!$B$2:$B$505, 0))</f>
        <v>1796</v>
      </c>
      <c r="H450" s="9">
        <f t="shared" si="1"/>
        <v>1613.642857</v>
      </c>
      <c r="I450" s="9">
        <f t="shared" si="2"/>
        <v>20</v>
      </c>
      <c r="J450" s="10">
        <f t="shared" si="3"/>
        <v>0.06380995131</v>
      </c>
    </row>
    <row r="451" ht="14.25" customHeight="1">
      <c r="A451" s="11">
        <v>43966.0</v>
      </c>
      <c r="B451" s="12" t="s">
        <v>18</v>
      </c>
      <c r="C451" s="12">
        <v>41697.0</v>
      </c>
      <c r="D451" s="12">
        <v>3772258.5</v>
      </c>
      <c r="E451" s="8">
        <f t="array" ref="E451">INDEX('Лист2'!$C$2:$C$505, MATCH(A451&amp;B451, 'Лист2'!$A$2:$A$505&amp;'Лист2'!$B$2:$B$505, 0))</f>
        <v>21</v>
      </c>
      <c r="F451" s="8">
        <f t="array" ref="F451">INDEX('Лист2'!$D$2:$D$505, MATCH(A451&amp;B451, 'Лист2'!$A$2:$A$505&amp;'Лист2'!$B$2:$B$505, 0))</f>
        <v>2255</v>
      </c>
      <c r="G451" s="8">
        <f t="array" ref="G451">INDEX('Лист2'!$E$2:$E$505, MATCH(A451&amp;B451, 'Лист2'!$A$2:$A$505&amp;'Лист2'!$B$2:$B$505, 0))</f>
        <v>2045</v>
      </c>
      <c r="H451" s="9">
        <f t="shared" si="1"/>
        <v>1985.571429</v>
      </c>
      <c r="I451" s="9">
        <f t="shared" si="2"/>
        <v>20</v>
      </c>
      <c r="J451" s="10">
        <f t="shared" si="3"/>
        <v>0.0760174412</v>
      </c>
    </row>
    <row r="452" ht="14.25" customHeight="1">
      <c r="A452" s="6">
        <v>43980.0</v>
      </c>
      <c r="B452" s="7" t="s">
        <v>18</v>
      </c>
      <c r="C452" s="7">
        <v>44569.5</v>
      </c>
      <c r="D452" s="7">
        <v>4108596.0</v>
      </c>
      <c r="E452" s="8">
        <f t="array" ref="E452">INDEX('Лист2'!$C$2:$C$505, MATCH(A452&amp;B452, 'Лист2'!$A$2:$A$505&amp;'Лист2'!$B$2:$B$505, 0))</f>
        <v>22</v>
      </c>
      <c r="F452" s="8">
        <f t="array" ref="F452">INDEX('Лист2'!$D$2:$D$505, MATCH(A452&amp;B452, 'Лист2'!$A$2:$A$505&amp;'Лист2'!$B$2:$B$505, 0))</f>
        <v>2597</v>
      </c>
      <c r="G452" s="8">
        <f t="array" ref="G452">INDEX('Лист2'!$E$2:$E$505, MATCH(A452&amp;B452, 'Лист2'!$A$2:$A$505&amp;'Лист2'!$B$2:$B$505, 0))</f>
        <v>2379</v>
      </c>
      <c r="H452" s="9">
        <f t="shared" si="1"/>
        <v>2025.886364</v>
      </c>
      <c r="I452" s="9">
        <f t="shared" si="2"/>
        <v>22</v>
      </c>
      <c r="J452" s="10">
        <f t="shared" si="3"/>
        <v>0.08279521535</v>
      </c>
    </row>
    <row r="453" ht="14.25" customHeight="1">
      <c r="A453" s="11">
        <v>43978.0</v>
      </c>
      <c r="B453" s="12" t="s">
        <v>19</v>
      </c>
      <c r="C453" s="12">
        <v>18069.0</v>
      </c>
      <c r="D453" s="12">
        <v>1603084.5</v>
      </c>
      <c r="E453" s="8">
        <f t="array" ref="E453">INDEX('Лист2'!$C$2:$C$505, MATCH(A453&amp;B453, 'Лист2'!$A$2:$A$505&amp;'Лист2'!$B$2:$B$505, 0))</f>
        <v>17</v>
      </c>
      <c r="F453" s="8">
        <f t="array" ref="F453">INDEX('Лист2'!$D$2:$D$505, MATCH(A453&amp;B453, 'Лист2'!$A$2:$A$505&amp;'Лист2'!$B$2:$B$505, 0))</f>
        <v>1203</v>
      </c>
      <c r="G453" s="8">
        <f t="array" ref="G453">INDEX('Лист2'!$E$2:$E$505, MATCH(A453&amp;B453, 'Лист2'!$A$2:$A$505&amp;'Лист2'!$B$2:$B$505, 0))</f>
        <v>1077</v>
      </c>
      <c r="H453" s="9">
        <f t="shared" si="1"/>
        <v>1062.882353</v>
      </c>
      <c r="I453" s="9">
        <f t="shared" si="2"/>
        <v>22</v>
      </c>
      <c r="J453" s="10">
        <f t="shared" si="3"/>
        <v>0.03230488624</v>
      </c>
    </row>
    <row r="454" ht="14.25" customHeight="1">
      <c r="A454" s="6">
        <v>43973.0</v>
      </c>
      <c r="B454" s="7" t="s">
        <v>19</v>
      </c>
      <c r="C454" s="7">
        <v>21483.0</v>
      </c>
      <c r="D454" s="7">
        <v>1774329.0</v>
      </c>
      <c r="E454" s="8">
        <f t="array" ref="E454">INDEX('Лист2'!$C$2:$C$505, MATCH(A454&amp;B454, 'Лист2'!$A$2:$A$505&amp;'Лист2'!$B$2:$B$505, 0))</f>
        <v>17</v>
      </c>
      <c r="F454" s="8">
        <f t="array" ref="F454">INDEX('Лист2'!$D$2:$D$505, MATCH(A454&amp;B454, 'Лист2'!$A$2:$A$505&amp;'Лист2'!$B$2:$B$505, 0))</f>
        <v>1268</v>
      </c>
      <c r="G454" s="8">
        <f t="array" ref="G454">INDEX('Лист2'!$E$2:$E$505, MATCH(A454&amp;B454, 'Лист2'!$A$2:$A$505&amp;'Лист2'!$B$2:$B$505, 0))</f>
        <v>1129</v>
      </c>
      <c r="H454" s="9">
        <f t="shared" si="1"/>
        <v>1263.705882</v>
      </c>
      <c r="I454" s="9">
        <f t="shared" si="2"/>
        <v>21</v>
      </c>
      <c r="J454" s="10">
        <f t="shared" si="3"/>
        <v>0.03575575492</v>
      </c>
    </row>
    <row r="455" ht="14.25" customHeight="1">
      <c r="A455" s="11">
        <v>43983.0</v>
      </c>
      <c r="B455" s="12" t="s">
        <v>19</v>
      </c>
      <c r="C455" s="12">
        <v>16687.5</v>
      </c>
      <c r="D455" s="12">
        <v>1526608.5</v>
      </c>
      <c r="E455" s="8">
        <f t="array" ref="E455">INDEX('Лист2'!$C$2:$C$505, MATCH(A455&amp;B455, 'Лист2'!$A$2:$A$505&amp;'Лист2'!$B$2:$B$505, 0))</f>
        <v>17</v>
      </c>
      <c r="F455" s="8">
        <f t="array" ref="F455">INDEX('Лист2'!$D$2:$D$505, MATCH(A455&amp;B455, 'Лист2'!$A$2:$A$505&amp;'Лист2'!$B$2:$B$505, 0))</f>
        <v>1185</v>
      </c>
      <c r="G455" s="8">
        <f t="array" ref="G455">INDEX('Лист2'!$E$2:$E$505, MATCH(A455&amp;B455, 'Лист2'!$A$2:$A$505&amp;'Лист2'!$B$2:$B$505, 0))</f>
        <v>1042</v>
      </c>
      <c r="H455" s="9">
        <f t="shared" si="1"/>
        <v>981.6176471</v>
      </c>
      <c r="I455" s="9">
        <f t="shared" si="2"/>
        <v>23</v>
      </c>
      <c r="J455" s="10">
        <f t="shared" si="3"/>
        <v>0.03076376444</v>
      </c>
    </row>
    <row r="456" ht="14.25" customHeight="1">
      <c r="A456" s="6">
        <v>43962.0</v>
      </c>
      <c r="B456" s="7" t="s">
        <v>19</v>
      </c>
      <c r="C456" s="7">
        <v>12238.5</v>
      </c>
      <c r="D456" s="7">
        <v>1096002.0</v>
      </c>
      <c r="E456" s="8">
        <f t="array" ref="E456">INDEX('Лист2'!$C$2:$C$505, MATCH(A456&amp;B456, 'Лист2'!$A$2:$A$505&amp;'Лист2'!$B$2:$B$505, 0))</f>
        <v>15</v>
      </c>
      <c r="F456" s="8">
        <f t="array" ref="F456">INDEX('Лист2'!$D$2:$D$505, MATCH(A456&amp;B456, 'Лист2'!$A$2:$A$505&amp;'Лист2'!$B$2:$B$505, 0))</f>
        <v>812</v>
      </c>
      <c r="G456" s="8">
        <f t="array" ref="G456">INDEX('Лист2'!$E$2:$E$505, MATCH(A456&amp;B456, 'Лист2'!$A$2:$A$505&amp;'Лист2'!$B$2:$B$505, 0))</f>
        <v>714</v>
      </c>
      <c r="H456" s="9">
        <f t="shared" si="1"/>
        <v>815.9</v>
      </c>
      <c r="I456" s="9">
        <f t="shared" si="2"/>
        <v>20</v>
      </c>
      <c r="J456" s="10">
        <f t="shared" si="3"/>
        <v>0.02208630919</v>
      </c>
    </row>
    <row r="457" ht="14.25" customHeight="1">
      <c r="A457" s="11">
        <v>43969.0</v>
      </c>
      <c r="B457" s="12" t="s">
        <v>19</v>
      </c>
      <c r="C457" s="12">
        <v>14290.5</v>
      </c>
      <c r="D457" s="12">
        <v>1246162.5</v>
      </c>
      <c r="E457" s="8">
        <f t="array" ref="E457">INDEX('Лист2'!$C$2:$C$505, MATCH(A457&amp;B457, 'Лист2'!$A$2:$A$505&amp;'Лист2'!$B$2:$B$505, 0))</f>
        <v>16</v>
      </c>
      <c r="F457" s="8">
        <f t="array" ref="F457">INDEX('Лист2'!$D$2:$D$505, MATCH(A457&amp;B457, 'Лист2'!$A$2:$A$505&amp;'Лист2'!$B$2:$B$505, 0))</f>
        <v>925</v>
      </c>
      <c r="G457" s="8">
        <f t="array" ref="G457">INDEX('Лист2'!$E$2:$E$505, MATCH(A457&amp;B457, 'Лист2'!$A$2:$A$505&amp;'Лист2'!$B$2:$B$505, 0))</f>
        <v>816</v>
      </c>
      <c r="H457" s="9">
        <f t="shared" si="1"/>
        <v>893.15625</v>
      </c>
      <c r="I457" s="9">
        <f t="shared" si="2"/>
        <v>21</v>
      </c>
      <c r="J457" s="10">
        <f t="shared" si="3"/>
        <v>0.02511229932</v>
      </c>
    </row>
    <row r="458" ht="14.25" customHeight="1">
      <c r="A458" s="6">
        <v>43965.0</v>
      </c>
      <c r="B458" s="7" t="s">
        <v>19</v>
      </c>
      <c r="C458" s="7">
        <v>14385.0</v>
      </c>
      <c r="D458" s="7">
        <v>1223491.5</v>
      </c>
      <c r="E458" s="8">
        <f t="array" ref="E458">INDEX('Лист2'!$C$2:$C$505, MATCH(A458&amp;B458, 'Лист2'!$A$2:$A$505&amp;'Лист2'!$B$2:$B$505, 0))</f>
        <v>15</v>
      </c>
      <c r="F458" s="8">
        <f t="array" ref="F458">INDEX('Лист2'!$D$2:$D$505, MATCH(A458&amp;B458, 'Лист2'!$A$2:$A$505&amp;'Лист2'!$B$2:$B$505, 0))</f>
        <v>890</v>
      </c>
      <c r="G458" s="8">
        <f t="array" ref="G458">INDEX('Лист2'!$E$2:$E$505, MATCH(A458&amp;B458, 'Лист2'!$A$2:$A$505&amp;'Лист2'!$B$2:$B$505, 0))</f>
        <v>777</v>
      </c>
      <c r="H458" s="9">
        <f t="shared" si="1"/>
        <v>959</v>
      </c>
      <c r="I458" s="9">
        <f t="shared" si="2"/>
        <v>20</v>
      </c>
      <c r="J458" s="10">
        <f t="shared" si="3"/>
        <v>0.02465544001</v>
      </c>
    </row>
    <row r="459" ht="14.25" customHeight="1">
      <c r="A459" s="11">
        <v>43966.0</v>
      </c>
      <c r="B459" s="12" t="s">
        <v>19</v>
      </c>
      <c r="C459" s="12">
        <v>16498.5</v>
      </c>
      <c r="D459" s="12">
        <v>1370482.5</v>
      </c>
      <c r="E459" s="8">
        <f t="array" ref="E459">INDEX('Лист2'!$C$2:$C$505, MATCH(A459&amp;B459, 'Лист2'!$A$2:$A$505&amp;'Лист2'!$B$2:$B$505, 0))</f>
        <v>15</v>
      </c>
      <c r="F459" s="8">
        <f t="array" ref="F459">INDEX('Лист2'!$D$2:$D$505, MATCH(A459&amp;B459, 'Лист2'!$A$2:$A$505&amp;'Лист2'!$B$2:$B$505, 0))</f>
        <v>980</v>
      </c>
      <c r="G459" s="8">
        <f t="array" ref="G459">INDEX('Лист2'!$E$2:$E$505, MATCH(A459&amp;B459, 'Лист2'!$A$2:$A$505&amp;'Лист2'!$B$2:$B$505, 0))</f>
        <v>867</v>
      </c>
      <c r="H459" s="9">
        <f t="shared" si="1"/>
        <v>1099.9</v>
      </c>
      <c r="I459" s="9">
        <f t="shared" si="2"/>
        <v>20</v>
      </c>
      <c r="J459" s="10">
        <f t="shared" si="3"/>
        <v>0.02761755931</v>
      </c>
    </row>
    <row r="460" ht="14.25" customHeight="1">
      <c r="A460" s="6">
        <v>43978.0</v>
      </c>
      <c r="B460" s="7" t="s">
        <v>20</v>
      </c>
      <c r="C460" s="7">
        <v>13203.0</v>
      </c>
      <c r="D460" s="7">
        <v>1211457.0</v>
      </c>
      <c r="E460" s="8">
        <f t="array" ref="E460">INDEX('Лист2'!$C$2:$C$505, MATCH(A460&amp;B460, 'Лист2'!$A$2:$A$505&amp;'Лист2'!$B$2:$B$505, 0))</f>
        <v>15</v>
      </c>
      <c r="F460" s="8">
        <f t="array" ref="F460">INDEX('Лист2'!$D$2:$D$505, MATCH(A460&amp;B460, 'Лист2'!$A$2:$A$505&amp;'Лист2'!$B$2:$B$505, 0))</f>
        <v>809</v>
      </c>
      <c r="G460" s="8">
        <f t="array" ref="G460">INDEX('Лист2'!$E$2:$E$505, MATCH(A460&amp;B460, 'Лист2'!$A$2:$A$505&amp;'Лист2'!$B$2:$B$505, 0))</f>
        <v>702</v>
      </c>
      <c r="H460" s="9">
        <f t="shared" si="1"/>
        <v>880.2</v>
      </c>
      <c r="I460" s="9">
        <f t="shared" si="2"/>
        <v>22</v>
      </c>
      <c r="J460" s="10">
        <f t="shared" si="3"/>
        <v>0.02441292432</v>
      </c>
    </row>
    <row r="461" ht="14.25" customHeight="1">
      <c r="A461" s="11">
        <v>43973.0</v>
      </c>
      <c r="B461" s="12" t="s">
        <v>20</v>
      </c>
      <c r="C461" s="12">
        <v>15802.5</v>
      </c>
      <c r="D461" s="12">
        <v>1411909.5</v>
      </c>
      <c r="E461" s="8">
        <f t="array" ref="E461">INDEX('Лист2'!$C$2:$C$505, MATCH(A461&amp;B461, 'Лист2'!$A$2:$A$505&amp;'Лист2'!$B$2:$B$505, 0))</f>
        <v>15</v>
      </c>
      <c r="F461" s="8">
        <f t="array" ref="F461">INDEX('Лист2'!$D$2:$D$505, MATCH(A461&amp;B461, 'Лист2'!$A$2:$A$505&amp;'Лист2'!$B$2:$B$505, 0))</f>
        <v>903</v>
      </c>
      <c r="G461" s="8">
        <f t="array" ref="G461">INDEX('Лист2'!$E$2:$E$505, MATCH(A461&amp;B461, 'Лист2'!$A$2:$A$505&amp;'Лист2'!$B$2:$B$505, 0))</f>
        <v>792</v>
      </c>
      <c r="H461" s="9">
        <f t="shared" si="1"/>
        <v>1053.5</v>
      </c>
      <c r="I461" s="9">
        <f t="shared" si="2"/>
        <v>21</v>
      </c>
      <c r="J461" s="10">
        <f t="shared" si="3"/>
        <v>0.028452384</v>
      </c>
    </row>
    <row r="462" ht="14.25" customHeight="1">
      <c r="A462" s="6">
        <v>43983.0</v>
      </c>
      <c r="B462" s="7" t="s">
        <v>20</v>
      </c>
      <c r="C462" s="7">
        <v>16476.0</v>
      </c>
      <c r="D462" s="7">
        <v>1565632.5</v>
      </c>
      <c r="E462" s="8">
        <f t="array" ref="E462">INDEX('Лист2'!$C$2:$C$505, MATCH(A462&amp;B462, 'Лист2'!$A$2:$A$505&amp;'Лист2'!$B$2:$B$505, 0))</f>
        <v>16</v>
      </c>
      <c r="F462" s="8">
        <f t="array" ref="F462">INDEX('Лист2'!$D$2:$D$505, MATCH(A462&amp;B462, 'Лист2'!$A$2:$A$505&amp;'Лист2'!$B$2:$B$505, 0))</f>
        <v>1019</v>
      </c>
      <c r="G462" s="8">
        <f t="array" ref="G462">INDEX('Лист2'!$E$2:$E$505, MATCH(A462&amp;B462, 'Лист2'!$A$2:$A$505&amp;'Лист2'!$B$2:$B$505, 0))</f>
        <v>895</v>
      </c>
      <c r="H462" s="9">
        <f t="shared" si="1"/>
        <v>1029.75</v>
      </c>
      <c r="I462" s="9">
        <f t="shared" si="2"/>
        <v>23</v>
      </c>
      <c r="J462" s="10">
        <f t="shared" si="3"/>
        <v>0.03155016458</v>
      </c>
    </row>
    <row r="463" ht="14.25" customHeight="1">
      <c r="A463" s="11">
        <v>43962.0</v>
      </c>
      <c r="B463" s="12" t="s">
        <v>20</v>
      </c>
      <c r="C463" s="12">
        <v>12654.0</v>
      </c>
      <c r="D463" s="12">
        <v>1081158.0</v>
      </c>
      <c r="E463" s="8">
        <f t="array" ref="E463">INDEX('Лист2'!$C$2:$C$505, MATCH(A463&amp;B463, 'Лист2'!$A$2:$A$505&amp;'Лист2'!$B$2:$B$505, 0))</f>
        <v>15</v>
      </c>
      <c r="F463" s="8">
        <f t="array" ref="F463">INDEX('Лист2'!$D$2:$D$505, MATCH(A463&amp;B463, 'Лист2'!$A$2:$A$505&amp;'Лист2'!$B$2:$B$505, 0))</f>
        <v>684</v>
      </c>
      <c r="G463" s="8">
        <f t="array" ref="G463">INDEX('Лист2'!$E$2:$E$505, MATCH(A463&amp;B463, 'Лист2'!$A$2:$A$505&amp;'Лист2'!$B$2:$B$505, 0))</f>
        <v>585</v>
      </c>
      <c r="H463" s="9">
        <f t="shared" si="1"/>
        <v>843.6</v>
      </c>
      <c r="I463" s="9">
        <f t="shared" si="2"/>
        <v>20</v>
      </c>
      <c r="J463" s="10">
        <f t="shared" si="3"/>
        <v>0.02178717728</v>
      </c>
    </row>
    <row r="464" ht="14.25" customHeight="1">
      <c r="A464" s="6">
        <v>43980.0</v>
      </c>
      <c r="B464" s="7" t="s">
        <v>19</v>
      </c>
      <c r="C464" s="7">
        <v>19647.0</v>
      </c>
      <c r="D464" s="7">
        <v>1764669.0</v>
      </c>
      <c r="E464" s="8">
        <f t="array" ref="E464">INDEX('Лист2'!$C$2:$C$505, MATCH(A464&amp;B464, 'Лист2'!$A$2:$A$505&amp;'Лист2'!$B$2:$B$505, 0))</f>
        <v>17</v>
      </c>
      <c r="F464" s="8">
        <f t="array" ref="F464">INDEX('Лист2'!$D$2:$D$505, MATCH(A464&amp;B464, 'Лист2'!$A$2:$A$505&amp;'Лист2'!$B$2:$B$505, 0))</f>
        <v>1296</v>
      </c>
      <c r="G464" s="8">
        <f t="array" ref="G464">INDEX('Лист2'!$E$2:$E$505, MATCH(A464&amp;B464, 'Лист2'!$A$2:$A$505&amp;'Лист2'!$B$2:$B$505, 0))</f>
        <v>1153</v>
      </c>
      <c r="H464" s="9">
        <f t="shared" si="1"/>
        <v>1155.705882</v>
      </c>
      <c r="I464" s="9">
        <f t="shared" si="2"/>
        <v>22</v>
      </c>
      <c r="J464" s="10">
        <f t="shared" si="3"/>
        <v>0.03556108945</v>
      </c>
    </row>
    <row r="465" ht="14.25" customHeight="1">
      <c r="A465" s="11">
        <v>43969.0</v>
      </c>
      <c r="B465" s="12" t="s">
        <v>20</v>
      </c>
      <c r="C465" s="12">
        <v>12450.0</v>
      </c>
      <c r="D465" s="12">
        <v>1115146.5</v>
      </c>
      <c r="E465" s="8">
        <f t="array" ref="E465">INDEX('Лист2'!$C$2:$C$505, MATCH(A465&amp;B465, 'Лист2'!$A$2:$A$505&amp;'Лист2'!$B$2:$B$505, 0))</f>
        <v>15</v>
      </c>
      <c r="F465" s="8">
        <f t="array" ref="F465">INDEX('Лист2'!$D$2:$D$505, MATCH(A465&amp;B465, 'Лист2'!$A$2:$A$505&amp;'Лист2'!$B$2:$B$505, 0))</f>
        <v>729</v>
      </c>
      <c r="G465" s="8">
        <f t="array" ref="G465">INDEX('Лист2'!$E$2:$E$505, MATCH(A465&amp;B465, 'Лист2'!$A$2:$A$505&amp;'Лист2'!$B$2:$B$505, 0))</f>
        <v>636</v>
      </c>
      <c r="H465" s="9">
        <f t="shared" si="1"/>
        <v>830</v>
      </c>
      <c r="I465" s="9">
        <f t="shared" si="2"/>
        <v>21</v>
      </c>
      <c r="J465" s="10">
        <f t="shared" si="3"/>
        <v>0.02247210351</v>
      </c>
    </row>
    <row r="466" ht="14.25" customHeight="1">
      <c r="A466" s="6">
        <v>43965.0</v>
      </c>
      <c r="B466" s="7" t="s">
        <v>20</v>
      </c>
      <c r="C466" s="7">
        <v>11161.5</v>
      </c>
      <c r="D466" s="7">
        <v>963502.5</v>
      </c>
      <c r="E466" s="8">
        <f t="array" ref="E466">INDEX('Лист2'!$C$2:$C$505, MATCH(A466&amp;B466, 'Лист2'!$A$2:$A$505&amp;'Лист2'!$B$2:$B$505, 0))</f>
        <v>15</v>
      </c>
      <c r="F466" s="8">
        <f t="array" ref="F466">INDEX('Лист2'!$D$2:$D$505, MATCH(A466&amp;B466, 'Лист2'!$A$2:$A$505&amp;'Лист2'!$B$2:$B$505, 0))</f>
        <v>638</v>
      </c>
      <c r="G466" s="8">
        <f t="array" ref="G466">INDEX('Лист2'!$E$2:$E$505, MATCH(A466&amp;B466, 'Лист2'!$A$2:$A$505&amp;'Лист2'!$B$2:$B$505, 0))</f>
        <v>548</v>
      </c>
      <c r="H466" s="9">
        <f t="shared" si="1"/>
        <v>744.1</v>
      </c>
      <c r="I466" s="9">
        <f t="shared" si="2"/>
        <v>20</v>
      </c>
      <c r="J466" s="10">
        <f t="shared" si="3"/>
        <v>0.01941621833</v>
      </c>
    </row>
    <row r="467" ht="14.25" customHeight="1">
      <c r="A467" s="11">
        <v>43966.0</v>
      </c>
      <c r="B467" s="12" t="s">
        <v>20</v>
      </c>
      <c r="C467" s="12">
        <v>12229.5</v>
      </c>
      <c r="D467" s="12">
        <v>1122730.5</v>
      </c>
      <c r="E467" s="8">
        <f t="array" ref="E467">INDEX('Лист2'!$C$2:$C$505, MATCH(A467&amp;B467, 'Лист2'!$A$2:$A$505&amp;'Лист2'!$B$2:$B$505, 0))</f>
        <v>15</v>
      </c>
      <c r="F467" s="8">
        <f t="array" ref="F467">INDEX('Лист2'!$D$2:$D$505, MATCH(A467&amp;B467, 'Лист2'!$A$2:$A$505&amp;'Лист2'!$B$2:$B$505, 0))</f>
        <v>688</v>
      </c>
      <c r="G467" s="8">
        <f t="array" ref="G467">INDEX('Лист2'!$E$2:$E$505, MATCH(A467&amp;B467, 'Лист2'!$A$2:$A$505&amp;'Лист2'!$B$2:$B$505, 0))</f>
        <v>598</v>
      </c>
      <c r="H467" s="9">
        <f t="shared" si="1"/>
        <v>815.3</v>
      </c>
      <c r="I467" s="9">
        <f t="shared" si="2"/>
        <v>20</v>
      </c>
      <c r="J467" s="10">
        <f t="shared" si="3"/>
        <v>0.02262493405</v>
      </c>
    </row>
    <row r="468" ht="14.25" customHeight="1">
      <c r="A468" s="6">
        <v>43978.0</v>
      </c>
      <c r="B468" s="7" t="s">
        <v>21</v>
      </c>
      <c r="C468" s="7">
        <v>28050.0</v>
      </c>
      <c r="D468" s="7">
        <v>2458555.5</v>
      </c>
      <c r="E468" s="8">
        <f t="array" ref="E468">INDEX('Лист2'!$C$2:$C$505, MATCH(A468&amp;B468, 'Лист2'!$A$2:$A$505&amp;'Лист2'!$B$2:$B$505, 0))</f>
        <v>20</v>
      </c>
      <c r="F468" s="8">
        <f t="array" ref="F468">INDEX('Лист2'!$D$2:$D$505, MATCH(A468&amp;B468, 'Лист2'!$A$2:$A$505&amp;'Лист2'!$B$2:$B$505, 0))</f>
        <v>1873</v>
      </c>
      <c r="G468" s="8">
        <f t="array" ref="G468">INDEX('Лист2'!$E$2:$E$505, MATCH(A468&amp;B468, 'Лист2'!$A$2:$A$505&amp;'Лист2'!$B$2:$B$505, 0))</f>
        <v>1715</v>
      </c>
      <c r="H468" s="9">
        <f t="shared" si="1"/>
        <v>1402.5</v>
      </c>
      <c r="I468" s="9">
        <f t="shared" si="2"/>
        <v>22</v>
      </c>
      <c r="J468" s="10">
        <f t="shared" si="3"/>
        <v>0.04954408563</v>
      </c>
    </row>
    <row r="469" ht="14.25" customHeight="1">
      <c r="A469" s="11">
        <v>43973.0</v>
      </c>
      <c r="B469" s="12" t="s">
        <v>21</v>
      </c>
      <c r="C469" s="12">
        <v>30781.5</v>
      </c>
      <c r="D469" s="12">
        <v>2540715.0</v>
      </c>
      <c r="E469" s="8">
        <f t="array" ref="E469">INDEX('Лист2'!$C$2:$C$505, MATCH(A469&amp;B469, 'Лист2'!$A$2:$A$505&amp;'Лист2'!$B$2:$B$505, 0))</f>
        <v>19</v>
      </c>
      <c r="F469" s="8">
        <f t="array" ref="F469">INDEX('Лист2'!$D$2:$D$505, MATCH(A469&amp;B469, 'Лист2'!$A$2:$A$505&amp;'Лист2'!$B$2:$B$505, 0))</f>
        <v>1859</v>
      </c>
      <c r="G469" s="8">
        <f t="array" ref="G469">INDEX('Лист2'!$E$2:$E$505, MATCH(A469&amp;B469, 'Лист2'!$A$2:$A$505&amp;'Лист2'!$B$2:$B$505, 0))</f>
        <v>1697</v>
      </c>
      <c r="H469" s="9">
        <f t="shared" si="1"/>
        <v>1620.078947</v>
      </c>
      <c r="I469" s="9">
        <f t="shared" si="2"/>
        <v>21</v>
      </c>
      <c r="J469" s="10">
        <f t="shared" si="3"/>
        <v>0.05119973966</v>
      </c>
    </row>
    <row r="470" ht="14.25" customHeight="1">
      <c r="A470" s="6">
        <v>43983.0</v>
      </c>
      <c r="B470" s="7" t="s">
        <v>21</v>
      </c>
      <c r="C470" s="7">
        <v>27960.0</v>
      </c>
      <c r="D470" s="7">
        <v>2538967.5</v>
      </c>
      <c r="E470" s="8">
        <f t="array" ref="E470">INDEX('Лист2'!$C$2:$C$505, MATCH(A470&amp;B470, 'Лист2'!$A$2:$A$505&amp;'Лист2'!$B$2:$B$505, 0))</f>
        <v>21</v>
      </c>
      <c r="F470" s="8">
        <f t="array" ref="F470">INDEX('Лист2'!$D$2:$D$505, MATCH(A470&amp;B470, 'Лист2'!$A$2:$A$505&amp;'Лист2'!$B$2:$B$505, 0))</f>
        <v>1879</v>
      </c>
      <c r="G470" s="8">
        <f t="array" ref="G470">INDEX('Лист2'!$E$2:$E$505, MATCH(A470&amp;B470, 'Лист2'!$A$2:$A$505&amp;'Лист2'!$B$2:$B$505, 0))</f>
        <v>1720</v>
      </c>
      <c r="H470" s="9">
        <f t="shared" si="1"/>
        <v>1331.428571</v>
      </c>
      <c r="I470" s="9">
        <f t="shared" si="2"/>
        <v>23</v>
      </c>
      <c r="J470" s="10">
        <f t="shared" si="3"/>
        <v>0.05116452455</v>
      </c>
    </row>
    <row r="471" ht="14.25" customHeight="1">
      <c r="A471" s="11">
        <v>43962.0</v>
      </c>
      <c r="B471" s="12" t="s">
        <v>21</v>
      </c>
      <c r="C471" s="12">
        <v>23629.5</v>
      </c>
      <c r="D471" s="12">
        <v>2164365.0</v>
      </c>
      <c r="E471" s="8">
        <f t="array" ref="E471">INDEX('Лист2'!$C$2:$C$505, MATCH(A471&amp;B471, 'Лист2'!$A$2:$A$505&amp;'Лист2'!$B$2:$B$505, 0))</f>
        <v>19</v>
      </c>
      <c r="F471" s="8">
        <f t="array" ref="F471">INDEX('Лист2'!$D$2:$D$505, MATCH(A471&amp;B471, 'Лист2'!$A$2:$A$505&amp;'Лист2'!$B$2:$B$505, 0))</f>
        <v>1527</v>
      </c>
      <c r="G471" s="8">
        <f t="array" ref="G471">INDEX('Лист2'!$E$2:$E$505, MATCH(A471&amp;B471, 'Лист2'!$A$2:$A$505&amp;'Лист2'!$B$2:$B$505, 0))</f>
        <v>1389</v>
      </c>
      <c r="H471" s="9">
        <f t="shared" si="1"/>
        <v>1243.657895</v>
      </c>
      <c r="I471" s="9">
        <f t="shared" si="2"/>
        <v>20</v>
      </c>
      <c r="J471" s="10">
        <f t="shared" si="3"/>
        <v>0.04361564541</v>
      </c>
    </row>
    <row r="472" ht="14.25" customHeight="1">
      <c r="A472" s="6">
        <v>43980.0</v>
      </c>
      <c r="B472" s="7" t="s">
        <v>20</v>
      </c>
      <c r="C472" s="7">
        <v>17052.0</v>
      </c>
      <c r="D472" s="7">
        <v>1549020.0</v>
      </c>
      <c r="E472" s="8">
        <f t="array" ref="E472">INDEX('Лист2'!$C$2:$C$505, MATCH(A472&amp;B472, 'Лист2'!$A$2:$A$505&amp;'Лист2'!$B$2:$B$505, 0))</f>
        <v>16</v>
      </c>
      <c r="F472" s="8">
        <f t="array" ref="F472">INDEX('Лист2'!$D$2:$D$505, MATCH(A472&amp;B472, 'Лист2'!$A$2:$A$505&amp;'Лист2'!$B$2:$B$505, 0))</f>
        <v>981</v>
      </c>
      <c r="G472" s="8">
        <f t="array" ref="G472">INDEX('Лист2'!$E$2:$E$505, MATCH(A472&amp;B472, 'Лист2'!$A$2:$A$505&amp;'Лист2'!$B$2:$B$505, 0))</f>
        <v>859</v>
      </c>
      <c r="H472" s="9">
        <f t="shared" si="1"/>
        <v>1065.75</v>
      </c>
      <c r="I472" s="9">
        <f t="shared" si="2"/>
        <v>22</v>
      </c>
      <c r="J472" s="10">
        <f t="shared" si="3"/>
        <v>0.03121539438</v>
      </c>
    </row>
    <row r="473" ht="14.25" customHeight="1">
      <c r="A473" s="11">
        <v>43969.0</v>
      </c>
      <c r="B473" s="12" t="s">
        <v>21</v>
      </c>
      <c r="C473" s="12">
        <v>27181.5</v>
      </c>
      <c r="D473" s="12">
        <v>2324490.0</v>
      </c>
      <c r="E473" s="8">
        <f t="array" ref="E473">INDEX('Лист2'!$C$2:$C$505, MATCH(A473&amp;B473, 'Лист2'!$A$2:$A$505&amp;'Лист2'!$B$2:$B$505, 0))</f>
        <v>19</v>
      </c>
      <c r="F473" s="8">
        <f t="array" ref="F473">INDEX('Лист2'!$D$2:$D$505, MATCH(A473&amp;B473, 'Лист2'!$A$2:$A$505&amp;'Лист2'!$B$2:$B$505, 0))</f>
        <v>1741</v>
      </c>
      <c r="G473" s="8">
        <f t="array" ref="G473">INDEX('Лист2'!$E$2:$E$505, MATCH(A473&amp;B473, 'Лист2'!$A$2:$A$505&amp;'Лист2'!$B$2:$B$505, 0))</f>
        <v>1597</v>
      </c>
      <c r="H473" s="9">
        <f t="shared" si="1"/>
        <v>1430.605263</v>
      </c>
      <c r="I473" s="9">
        <f t="shared" si="2"/>
        <v>21</v>
      </c>
      <c r="J473" s="10">
        <f t="shared" si="3"/>
        <v>0.0468424372</v>
      </c>
    </row>
    <row r="474" ht="14.25" customHeight="1">
      <c r="A474" s="6">
        <v>43965.0</v>
      </c>
      <c r="B474" s="7" t="s">
        <v>21</v>
      </c>
      <c r="C474" s="7">
        <v>25656.0</v>
      </c>
      <c r="D474" s="7">
        <v>2225341.5</v>
      </c>
      <c r="E474" s="8">
        <f t="array" ref="E474">INDEX('Лист2'!$C$2:$C$505, MATCH(A474&amp;B474, 'Лист2'!$A$2:$A$505&amp;'Лист2'!$B$2:$B$505, 0))</f>
        <v>19</v>
      </c>
      <c r="F474" s="8">
        <f t="array" ref="F474">INDEX('Лист2'!$D$2:$D$505, MATCH(A474&amp;B474, 'Лист2'!$A$2:$A$505&amp;'Лист2'!$B$2:$B$505, 0))</f>
        <v>1635</v>
      </c>
      <c r="G474" s="8">
        <f t="array" ref="G474">INDEX('Лист2'!$E$2:$E$505, MATCH(A474&amp;B474, 'Лист2'!$A$2:$A$505&amp;'Лист2'!$B$2:$B$505, 0))</f>
        <v>1487</v>
      </c>
      <c r="H474" s="9">
        <f t="shared" si="1"/>
        <v>1350.315789</v>
      </c>
      <c r="I474" s="9">
        <f t="shared" si="2"/>
        <v>20</v>
      </c>
      <c r="J474" s="10">
        <f t="shared" si="3"/>
        <v>0.04484442586</v>
      </c>
    </row>
    <row r="475" ht="14.25" customHeight="1">
      <c r="A475" s="11">
        <v>43966.0</v>
      </c>
      <c r="B475" s="12" t="s">
        <v>21</v>
      </c>
      <c r="C475" s="12">
        <v>29283.0</v>
      </c>
      <c r="D475" s="12">
        <v>2477487.0</v>
      </c>
      <c r="E475" s="8">
        <f t="array" ref="E475">INDEX('Лист2'!$C$2:$C$505, MATCH(A475&amp;B475, 'Лист2'!$A$2:$A$505&amp;'Лист2'!$B$2:$B$505, 0))</f>
        <v>19</v>
      </c>
      <c r="F475" s="8">
        <f t="array" ref="F475">INDEX('Лист2'!$D$2:$D$505, MATCH(A475&amp;B475, 'Лист2'!$A$2:$A$505&amp;'Лист2'!$B$2:$B$505, 0))</f>
        <v>1780</v>
      </c>
      <c r="G475" s="8">
        <f t="array" ref="G475">INDEX('Лист2'!$E$2:$E$505, MATCH(A475&amp;B475, 'Лист2'!$A$2:$A$505&amp;'Лист2'!$B$2:$B$505, 0))</f>
        <v>1615</v>
      </c>
      <c r="H475" s="9">
        <f t="shared" si="1"/>
        <v>1541.210526</v>
      </c>
      <c r="I475" s="9">
        <f t="shared" si="2"/>
        <v>20</v>
      </c>
      <c r="J475" s="10">
        <f t="shared" si="3"/>
        <v>0.04992558764</v>
      </c>
    </row>
    <row r="476" ht="14.25" customHeight="1">
      <c r="A476" s="6">
        <v>43980.0</v>
      </c>
      <c r="B476" s="7" t="s">
        <v>21</v>
      </c>
      <c r="C476" s="7">
        <v>32782.5</v>
      </c>
      <c r="D476" s="7">
        <v>2854741.5</v>
      </c>
      <c r="E476" s="8">
        <f t="array" ref="E476">INDEX('Лист2'!$C$2:$C$505, MATCH(A476&amp;B476, 'Лист2'!$A$2:$A$505&amp;'Лист2'!$B$2:$B$505, 0))</f>
        <v>20</v>
      </c>
      <c r="F476" s="8">
        <f t="array" ref="F476">INDEX('Лист2'!$D$2:$D$505, MATCH(A476&amp;B476, 'Лист2'!$A$2:$A$505&amp;'Лист2'!$B$2:$B$505, 0))</f>
        <v>2064</v>
      </c>
      <c r="G476" s="8">
        <f t="array" ref="G476">INDEX('Лист2'!$E$2:$E$505, MATCH(A476&amp;B476, 'Лист2'!$A$2:$A$505&amp;'Лист2'!$B$2:$B$505, 0))</f>
        <v>1896</v>
      </c>
      <c r="H476" s="9">
        <f t="shared" si="1"/>
        <v>1639.125</v>
      </c>
      <c r="I476" s="9">
        <f t="shared" si="2"/>
        <v>22</v>
      </c>
      <c r="J476" s="10">
        <f t="shared" si="3"/>
        <v>0.05752790911</v>
      </c>
    </row>
    <row r="477" ht="14.25" customHeight="1">
      <c r="A477" s="11">
        <v>43978.0</v>
      </c>
      <c r="B477" s="12" t="s">
        <v>22</v>
      </c>
      <c r="C477" s="12">
        <v>215592.0</v>
      </c>
      <c r="D477" s="12">
        <v>2.23423005E7</v>
      </c>
      <c r="E477" s="8">
        <f t="array" ref="E477">INDEX('Лист2'!$C$2:$C$505, MATCH(A477&amp;B477, 'Лист2'!$A$2:$A$505&amp;'Лист2'!$B$2:$B$505, 0))</f>
        <v>59</v>
      </c>
      <c r="F477" s="8">
        <f t="array" ref="F477">INDEX('Лист2'!$D$2:$D$505, MATCH(A477&amp;B477, 'Лист2'!$A$2:$A$505&amp;'Лист2'!$B$2:$B$505, 0))</f>
        <v>13942</v>
      </c>
      <c r="G477" s="8">
        <f t="array" ref="G477">INDEX('Лист2'!$E$2:$E$505, MATCH(A477&amp;B477, 'Лист2'!$A$2:$A$505&amp;'Лист2'!$B$2:$B$505, 0))</f>
        <v>12986</v>
      </c>
      <c r="H477" s="9">
        <f t="shared" si="1"/>
        <v>3654.101695</v>
      </c>
      <c r="I477" s="9">
        <f t="shared" si="2"/>
        <v>22</v>
      </c>
      <c r="J477" s="10">
        <f t="shared" si="3"/>
        <v>0.450235453</v>
      </c>
    </row>
    <row r="478" ht="14.25" customHeight="1">
      <c r="A478" s="6">
        <v>43973.0</v>
      </c>
      <c r="B478" s="7" t="s">
        <v>22</v>
      </c>
      <c r="C478" s="7">
        <v>228334.5</v>
      </c>
      <c r="D478" s="7">
        <v>2.23807725E7</v>
      </c>
      <c r="E478" s="8">
        <f t="array" ref="E478">INDEX('Лист2'!$C$2:$C$505, MATCH(A478&amp;B478, 'Лист2'!$A$2:$A$505&amp;'Лист2'!$B$2:$B$505, 0))</f>
        <v>60</v>
      </c>
      <c r="F478" s="8">
        <f t="array" ref="F478">INDEX('Лист2'!$D$2:$D$505, MATCH(A478&amp;B478, 'Лист2'!$A$2:$A$505&amp;'Лист2'!$B$2:$B$505, 0))</f>
        <v>14050</v>
      </c>
      <c r="G478" s="8">
        <f t="array" ref="G478">INDEX('Лист2'!$E$2:$E$505, MATCH(A478&amp;B478, 'Лист2'!$A$2:$A$505&amp;'Лист2'!$B$2:$B$505, 0))</f>
        <v>13027</v>
      </c>
      <c r="H478" s="9">
        <f t="shared" si="1"/>
        <v>3805.575</v>
      </c>
      <c r="I478" s="9">
        <f t="shared" si="2"/>
        <v>21</v>
      </c>
      <c r="J478" s="10">
        <f t="shared" si="3"/>
        <v>0.4510107294</v>
      </c>
    </row>
    <row r="479" ht="14.25" customHeight="1">
      <c r="A479" s="11">
        <v>43983.0</v>
      </c>
      <c r="B479" s="12" t="s">
        <v>22</v>
      </c>
      <c r="C479" s="12">
        <v>188776.5</v>
      </c>
      <c r="D479" s="12">
        <v>1.94653725E7</v>
      </c>
      <c r="E479" s="8">
        <f t="array" ref="E479">INDEX('Лист2'!$C$2:$C$505, MATCH(A479&amp;B479, 'Лист2'!$A$2:$A$505&amp;'Лист2'!$B$2:$B$505, 0))</f>
        <v>59</v>
      </c>
      <c r="F479" s="8">
        <f t="array" ref="F479">INDEX('Лист2'!$D$2:$D$505, MATCH(A479&amp;B479, 'Лист2'!$A$2:$A$505&amp;'Лист2'!$B$2:$B$505, 0))</f>
        <v>12299</v>
      </c>
      <c r="G479" s="8">
        <f t="array" ref="G479">INDEX('Лист2'!$E$2:$E$505, MATCH(A479&amp;B479, 'Лист2'!$A$2:$A$505&amp;'Лист2'!$B$2:$B$505, 0))</f>
        <v>11448</v>
      </c>
      <c r="H479" s="9">
        <f t="shared" si="1"/>
        <v>3199.601695</v>
      </c>
      <c r="I479" s="9">
        <f t="shared" si="2"/>
        <v>23</v>
      </c>
      <c r="J479" s="10">
        <f t="shared" si="3"/>
        <v>0.3922604481</v>
      </c>
    </row>
    <row r="480" ht="14.25" customHeight="1">
      <c r="A480" s="6">
        <v>43962.0</v>
      </c>
      <c r="B480" s="7" t="s">
        <v>22</v>
      </c>
      <c r="C480" s="7">
        <v>175293.0</v>
      </c>
      <c r="D480" s="7">
        <v>1.7919144E7</v>
      </c>
      <c r="E480" s="8">
        <f t="array" ref="E480">INDEX('Лист2'!$C$2:$C$505, MATCH(A480&amp;B480, 'Лист2'!$A$2:$A$505&amp;'Лист2'!$B$2:$B$505, 0))</f>
        <v>60</v>
      </c>
      <c r="F480" s="8">
        <f t="array" ref="F480">INDEX('Лист2'!$D$2:$D$505, MATCH(A480&amp;B480, 'Лист2'!$A$2:$A$505&amp;'Лист2'!$B$2:$B$505, 0))</f>
        <v>11100</v>
      </c>
      <c r="G480" s="8">
        <f t="array" ref="G480">INDEX('Лист2'!$E$2:$E$505, MATCH(A480&amp;B480, 'Лист2'!$A$2:$A$505&amp;'Лист2'!$B$2:$B$505, 0))</f>
        <v>10407</v>
      </c>
      <c r="H480" s="9">
        <f t="shared" si="1"/>
        <v>2921.55</v>
      </c>
      <c r="I480" s="9">
        <f t="shared" si="2"/>
        <v>20</v>
      </c>
      <c r="J480" s="10">
        <f t="shared" si="3"/>
        <v>0.3611013072</v>
      </c>
    </row>
    <row r="481" ht="14.25" customHeight="1">
      <c r="A481" s="11">
        <v>43969.0</v>
      </c>
      <c r="B481" s="12" t="s">
        <v>22</v>
      </c>
      <c r="C481" s="12">
        <v>201999.0</v>
      </c>
      <c r="D481" s="12">
        <v>2.04224355E7</v>
      </c>
      <c r="E481" s="8">
        <f t="array" ref="E481">INDEX('Лист2'!$C$2:$C$505, MATCH(A481&amp;B481, 'Лист2'!$A$2:$A$505&amp;'Лист2'!$B$2:$B$505, 0))</f>
        <v>60</v>
      </c>
      <c r="F481" s="8">
        <f t="array" ref="F481">INDEX('Лист2'!$D$2:$D$505, MATCH(A481&amp;B481, 'Лист2'!$A$2:$A$505&amp;'Лист2'!$B$2:$B$505, 0))</f>
        <v>12460</v>
      </c>
      <c r="G481" s="8">
        <f t="array" ref="G481">INDEX('Лист2'!$E$2:$E$505, MATCH(A481&amp;B481, 'Лист2'!$A$2:$A$505&amp;'Лист2'!$B$2:$B$505, 0))</f>
        <v>11665</v>
      </c>
      <c r="H481" s="9">
        <f t="shared" si="1"/>
        <v>3366.65</v>
      </c>
      <c r="I481" s="9">
        <f t="shared" si="2"/>
        <v>21</v>
      </c>
      <c r="J481" s="10">
        <f t="shared" si="3"/>
        <v>0.4115468995</v>
      </c>
    </row>
    <row r="482" ht="14.25" customHeight="1">
      <c r="A482" s="6">
        <v>43965.0</v>
      </c>
      <c r="B482" s="7" t="s">
        <v>22</v>
      </c>
      <c r="C482" s="7">
        <v>197946.0</v>
      </c>
      <c r="D482" s="7">
        <v>1.99424355E7</v>
      </c>
      <c r="E482" s="8">
        <f t="array" ref="E482">INDEX('Лист2'!$C$2:$C$505, MATCH(A482&amp;B482, 'Лист2'!$A$2:$A$505&amp;'Лист2'!$B$2:$B$505, 0))</f>
        <v>60</v>
      </c>
      <c r="F482" s="8">
        <f t="array" ref="F482">INDEX('Лист2'!$D$2:$D$505, MATCH(A482&amp;B482, 'Лист2'!$A$2:$A$505&amp;'Лист2'!$B$2:$B$505, 0))</f>
        <v>11935</v>
      </c>
      <c r="G482" s="8">
        <f t="array" ref="G482">INDEX('Лист2'!$E$2:$E$505, MATCH(A482&amp;B482, 'Лист2'!$A$2:$A$505&amp;'Лист2'!$B$2:$B$505, 0))</f>
        <v>11178</v>
      </c>
      <c r="H482" s="9">
        <f t="shared" si="1"/>
        <v>3299.1</v>
      </c>
      <c r="I482" s="9">
        <f t="shared" si="2"/>
        <v>20</v>
      </c>
      <c r="J482" s="10">
        <f t="shared" si="3"/>
        <v>0.401874081</v>
      </c>
    </row>
    <row r="483" ht="14.25" customHeight="1">
      <c r="A483" s="11">
        <v>43966.0</v>
      </c>
      <c r="B483" s="12" t="s">
        <v>22</v>
      </c>
      <c r="C483" s="12">
        <v>230896.5</v>
      </c>
      <c r="D483" s="12">
        <v>2.3085222E7</v>
      </c>
      <c r="E483" s="8">
        <f t="array" ref="E483">INDEX('Лист2'!$C$2:$C$505, MATCH(A483&amp;B483, 'Лист2'!$A$2:$A$505&amp;'Лист2'!$B$2:$B$505, 0))</f>
        <v>60</v>
      </c>
      <c r="F483" s="8">
        <f t="array" ref="F483">INDEX('Лист2'!$D$2:$D$505, MATCH(A483&amp;B483, 'Лист2'!$A$2:$A$505&amp;'Лист2'!$B$2:$B$505, 0))</f>
        <v>13544</v>
      </c>
      <c r="G483" s="8">
        <f t="array" ref="G483">INDEX('Лист2'!$E$2:$E$505, MATCH(A483&amp;B483, 'Лист2'!$A$2:$A$505&amp;'Лист2'!$B$2:$B$505, 0))</f>
        <v>12643</v>
      </c>
      <c r="H483" s="9">
        <f t="shared" si="1"/>
        <v>3848.275</v>
      </c>
      <c r="I483" s="9">
        <f t="shared" si="2"/>
        <v>20</v>
      </c>
      <c r="J483" s="10">
        <f t="shared" si="3"/>
        <v>0.465206588</v>
      </c>
    </row>
    <row r="484" ht="14.25" customHeight="1">
      <c r="A484" s="6">
        <v>43978.0</v>
      </c>
      <c r="B484" s="7" t="s">
        <v>23</v>
      </c>
      <c r="C484" s="7">
        <v>203532.0</v>
      </c>
      <c r="D484" s="7">
        <v>2.09533245E7</v>
      </c>
      <c r="E484" s="8">
        <f t="array" ref="E484">INDEX('Лист2'!$C$2:$C$505, MATCH(A484&amp;B484, 'Лист2'!$A$2:$A$505&amp;'Лист2'!$B$2:$B$505, 0))</f>
        <v>54</v>
      </c>
      <c r="F484" s="8">
        <f t="array" ref="F484">INDEX('Лист2'!$D$2:$D$505, MATCH(A484&amp;B484, 'Лист2'!$A$2:$A$505&amp;'Лист2'!$B$2:$B$505, 0))</f>
        <v>13091</v>
      </c>
      <c r="G484" s="8">
        <f t="array" ref="G484">INDEX('Лист2'!$E$2:$E$505, MATCH(A484&amp;B484, 'Лист2'!$A$2:$A$505&amp;'Лист2'!$B$2:$B$505, 0))</f>
        <v>12216</v>
      </c>
      <c r="H484" s="9">
        <f t="shared" si="1"/>
        <v>3769.111111</v>
      </c>
      <c r="I484" s="9">
        <f t="shared" si="2"/>
        <v>22</v>
      </c>
      <c r="J484" s="10">
        <f t="shared" si="3"/>
        <v>0.4222452181</v>
      </c>
    </row>
    <row r="485" ht="14.25" customHeight="1">
      <c r="A485" s="11">
        <v>43973.0</v>
      </c>
      <c r="B485" s="12" t="s">
        <v>23</v>
      </c>
      <c r="C485" s="12">
        <v>214428.0</v>
      </c>
      <c r="D485" s="12">
        <v>2.08125855E7</v>
      </c>
      <c r="E485" s="8">
        <f t="array" ref="E485">INDEX('Лист2'!$C$2:$C$505, MATCH(A485&amp;B485, 'Лист2'!$A$2:$A$505&amp;'Лист2'!$B$2:$B$505, 0))</f>
        <v>54</v>
      </c>
      <c r="F485" s="8">
        <f t="array" ref="F485">INDEX('Лист2'!$D$2:$D$505, MATCH(A485&amp;B485, 'Лист2'!$A$2:$A$505&amp;'Лист2'!$B$2:$B$505, 0))</f>
        <v>13014</v>
      </c>
      <c r="G485" s="8">
        <f t="array" ref="G485">INDEX('Лист2'!$E$2:$E$505, MATCH(A485&amp;B485, 'Лист2'!$A$2:$A$505&amp;'Лист2'!$B$2:$B$505, 0))</f>
        <v>12095</v>
      </c>
      <c r="H485" s="9">
        <f t="shared" si="1"/>
        <v>3970.888889</v>
      </c>
      <c r="I485" s="9">
        <f t="shared" si="2"/>
        <v>21</v>
      </c>
      <c r="J485" s="10">
        <f t="shared" si="3"/>
        <v>0.4194090873</v>
      </c>
    </row>
    <row r="486" ht="14.25" customHeight="1">
      <c r="A486" s="6">
        <v>43983.0</v>
      </c>
      <c r="B486" s="7" t="s">
        <v>23</v>
      </c>
      <c r="C486" s="7">
        <v>183228.0</v>
      </c>
      <c r="D486" s="7">
        <v>1.89141945E7</v>
      </c>
      <c r="E486" s="8">
        <f t="array" ref="E486">INDEX('Лист2'!$C$2:$C$505, MATCH(A486&amp;B486, 'Лист2'!$A$2:$A$505&amp;'Лист2'!$B$2:$B$505, 0))</f>
        <v>54</v>
      </c>
      <c r="F486" s="8">
        <f t="array" ref="F486">INDEX('Лист2'!$D$2:$D$505, MATCH(A486&amp;B486, 'Лист2'!$A$2:$A$505&amp;'Лист2'!$B$2:$B$505, 0))</f>
        <v>11864</v>
      </c>
      <c r="G486" s="8">
        <f t="array" ref="G486">INDEX('Лист2'!$E$2:$E$505, MATCH(A486&amp;B486, 'Лист2'!$A$2:$A$505&amp;'Лист2'!$B$2:$B$505, 0))</f>
        <v>11071</v>
      </c>
      <c r="H486" s="9">
        <f t="shared" si="1"/>
        <v>3393.111111</v>
      </c>
      <c r="I486" s="9">
        <f t="shared" si="2"/>
        <v>23</v>
      </c>
      <c r="J486" s="10">
        <f t="shared" si="3"/>
        <v>0.3811532715</v>
      </c>
    </row>
    <row r="487" ht="14.25" customHeight="1">
      <c r="A487" s="11">
        <v>43962.0</v>
      </c>
      <c r="B487" s="12" t="s">
        <v>23</v>
      </c>
      <c r="C487" s="12">
        <v>166948.5</v>
      </c>
      <c r="D487" s="12">
        <v>1.6971231E7</v>
      </c>
      <c r="E487" s="8">
        <f t="array" ref="E487">INDEX('Лист2'!$C$2:$C$505, MATCH(A487&amp;B487, 'Лист2'!$A$2:$A$505&amp;'Лист2'!$B$2:$B$505, 0))</f>
        <v>54</v>
      </c>
      <c r="F487" s="8">
        <f t="array" ref="F487">INDEX('Лист2'!$D$2:$D$505, MATCH(A487&amp;B487, 'Лист2'!$A$2:$A$505&amp;'Лист2'!$B$2:$B$505, 0))</f>
        <v>10570</v>
      </c>
      <c r="G487" s="8">
        <f t="array" ref="G487">INDEX('Лист2'!$E$2:$E$505, MATCH(A487&amp;B487, 'Лист2'!$A$2:$A$505&amp;'Лист2'!$B$2:$B$505, 0))</f>
        <v>9926</v>
      </c>
      <c r="H487" s="9">
        <f t="shared" si="1"/>
        <v>3091.638889</v>
      </c>
      <c r="I487" s="9">
        <f t="shared" si="2"/>
        <v>20</v>
      </c>
      <c r="J487" s="10">
        <f t="shared" si="3"/>
        <v>0.3419992439</v>
      </c>
    </row>
    <row r="488" ht="14.25" customHeight="1">
      <c r="A488" s="6">
        <v>43980.0</v>
      </c>
      <c r="B488" s="7" t="s">
        <v>22</v>
      </c>
      <c r="C488" s="7">
        <v>232102.5</v>
      </c>
      <c r="D488" s="7">
        <v>2.31204435E7</v>
      </c>
      <c r="E488" s="8">
        <f t="array" ref="E488">INDEX('Лист2'!$C$2:$C$505, MATCH(A488&amp;B488, 'Лист2'!$A$2:$A$505&amp;'Лист2'!$B$2:$B$505, 0))</f>
        <v>59</v>
      </c>
      <c r="F488" s="8">
        <f t="array" ref="F488">INDEX('Лист2'!$D$2:$D$505, MATCH(A488&amp;B488, 'Лист2'!$A$2:$A$505&amp;'Лист2'!$B$2:$B$505, 0))</f>
        <v>14507</v>
      </c>
      <c r="G488" s="8">
        <f t="array" ref="G488">INDEX('Лист2'!$E$2:$E$505, MATCH(A488&amp;B488, 'Лист2'!$A$2:$A$505&amp;'Лист2'!$B$2:$B$505, 0))</f>
        <v>13386</v>
      </c>
      <c r="H488" s="9">
        <f t="shared" si="1"/>
        <v>3933.940678</v>
      </c>
      <c r="I488" s="9">
        <f t="shared" si="2"/>
        <v>22</v>
      </c>
      <c r="J488" s="10">
        <f t="shared" si="3"/>
        <v>0.4659163613</v>
      </c>
    </row>
    <row r="489" ht="14.25" customHeight="1">
      <c r="A489" s="11">
        <v>43969.0</v>
      </c>
      <c r="B489" s="12" t="s">
        <v>23</v>
      </c>
      <c r="C489" s="12">
        <v>196560.0</v>
      </c>
      <c r="D489" s="12">
        <v>1.9855122E7</v>
      </c>
      <c r="E489" s="8">
        <f t="array" ref="E489">INDEX('Лист2'!$C$2:$C$505, MATCH(A489&amp;B489, 'Лист2'!$A$2:$A$505&amp;'Лист2'!$B$2:$B$505, 0))</f>
        <v>54</v>
      </c>
      <c r="F489" s="8">
        <f t="array" ref="F489">INDEX('Лист2'!$D$2:$D$505, MATCH(A489&amp;B489, 'Лист2'!$A$2:$A$505&amp;'Лист2'!$B$2:$B$505, 0))</f>
        <v>12012</v>
      </c>
      <c r="G489" s="8">
        <f t="array" ref="G489">INDEX('Лист2'!$E$2:$E$505, MATCH(A489&amp;B489, 'Лист2'!$A$2:$A$505&amp;'Лист2'!$B$2:$B$505, 0))</f>
        <v>11308</v>
      </c>
      <c r="H489" s="9">
        <f t="shared" si="1"/>
        <v>3640</v>
      </c>
      <c r="I489" s="9">
        <f t="shared" si="2"/>
        <v>21</v>
      </c>
      <c r="J489" s="10">
        <f t="shared" si="3"/>
        <v>0.4001145651</v>
      </c>
    </row>
    <row r="490" ht="14.25" customHeight="1">
      <c r="A490" s="6">
        <v>43965.0</v>
      </c>
      <c r="B490" s="7" t="s">
        <v>23</v>
      </c>
      <c r="C490" s="7">
        <v>186496.5</v>
      </c>
      <c r="D490" s="7">
        <v>1.8640998E7</v>
      </c>
      <c r="E490" s="8">
        <f t="array" ref="E490">INDEX('Лист2'!$C$2:$C$505, MATCH(A490&amp;B490, 'Лист2'!$A$2:$A$505&amp;'Лист2'!$B$2:$B$505, 0))</f>
        <v>54</v>
      </c>
      <c r="F490" s="8">
        <f t="array" ref="F490">INDEX('Лист2'!$D$2:$D$505, MATCH(A490&amp;B490, 'Лист2'!$A$2:$A$505&amp;'Лист2'!$B$2:$B$505, 0))</f>
        <v>11194</v>
      </c>
      <c r="G490" s="8">
        <f t="array" ref="G490">INDEX('Лист2'!$E$2:$E$505, MATCH(A490&amp;B490, 'Лист2'!$A$2:$A$505&amp;'Лист2'!$B$2:$B$505, 0))</f>
        <v>10554</v>
      </c>
      <c r="H490" s="9">
        <f t="shared" si="1"/>
        <v>3453.638889</v>
      </c>
      <c r="I490" s="9">
        <f t="shared" si="2"/>
        <v>20</v>
      </c>
      <c r="J490" s="10">
        <f t="shared" si="3"/>
        <v>0.3756478962</v>
      </c>
    </row>
    <row r="491" ht="14.25" customHeight="1">
      <c r="A491" s="11">
        <v>43966.0</v>
      </c>
      <c r="B491" s="12" t="s">
        <v>23</v>
      </c>
      <c r="C491" s="12">
        <v>219772.5</v>
      </c>
      <c r="D491" s="12">
        <v>2.18952945E7</v>
      </c>
      <c r="E491" s="8">
        <f t="array" ref="E491">INDEX('Лист2'!$C$2:$C$505, MATCH(A491&amp;B491, 'Лист2'!$A$2:$A$505&amp;'Лист2'!$B$2:$B$505, 0))</f>
        <v>54</v>
      </c>
      <c r="F491" s="8">
        <f t="array" ref="F491">INDEX('Лист2'!$D$2:$D$505, MATCH(A491&amp;B491, 'Лист2'!$A$2:$A$505&amp;'Лист2'!$B$2:$B$505, 0))</f>
        <v>12791</v>
      </c>
      <c r="G491" s="8">
        <f t="array" ref="G491">INDEX('Лист2'!$E$2:$E$505, MATCH(A491&amp;B491, 'Лист2'!$A$2:$A$505&amp;'Лист2'!$B$2:$B$505, 0))</f>
        <v>11950</v>
      </c>
      <c r="H491" s="9">
        <f t="shared" si="1"/>
        <v>4069.861111</v>
      </c>
      <c r="I491" s="9">
        <f t="shared" si="2"/>
        <v>20</v>
      </c>
      <c r="J491" s="10">
        <f t="shared" si="3"/>
        <v>0.4412275199</v>
      </c>
    </row>
    <row r="492" ht="14.25" customHeight="1">
      <c r="A492" s="6">
        <v>43980.0</v>
      </c>
      <c r="B492" s="7" t="s">
        <v>23</v>
      </c>
      <c r="C492" s="7">
        <v>226476.0</v>
      </c>
      <c r="D492" s="7">
        <v>2.24161515E7</v>
      </c>
      <c r="E492" s="8">
        <f t="array" ref="E492">INDEX('Лист2'!$C$2:$C$505, MATCH(A492&amp;B492, 'Лист2'!$A$2:$A$505&amp;'Лист2'!$B$2:$B$505, 0))</f>
        <v>54</v>
      </c>
      <c r="F492" s="8">
        <f t="array" ref="F492">INDEX('Лист2'!$D$2:$D$505, MATCH(A492&amp;B492, 'Лист2'!$A$2:$A$505&amp;'Лист2'!$B$2:$B$505, 0))</f>
        <v>14031</v>
      </c>
      <c r="G492" s="8">
        <f t="array" ref="G492">INDEX('Лист2'!$E$2:$E$505, MATCH(A492&amp;B492, 'Лист2'!$A$2:$A$505&amp;'Лист2'!$B$2:$B$505, 0))</f>
        <v>12943</v>
      </c>
      <c r="H492" s="9">
        <f t="shared" si="1"/>
        <v>4194</v>
      </c>
      <c r="I492" s="9">
        <f t="shared" si="2"/>
        <v>22</v>
      </c>
      <c r="J492" s="10">
        <f t="shared" si="3"/>
        <v>0.4517236766</v>
      </c>
    </row>
    <row r="493" ht="14.25" customHeight="1">
      <c r="A493" s="11">
        <v>43978.0</v>
      </c>
      <c r="B493" s="12" t="s">
        <v>25</v>
      </c>
      <c r="C493" s="12">
        <v>8362.5</v>
      </c>
      <c r="D493" s="12">
        <v>687684.0</v>
      </c>
      <c r="E493" s="8">
        <f t="array" ref="E493">INDEX('Лист2'!$C$2:$C$505, MATCH(A493&amp;B493, 'Лист2'!$A$2:$A$505&amp;'Лист2'!$B$2:$B$505, 0))</f>
        <v>7</v>
      </c>
      <c r="F493" s="8">
        <f t="array" ref="F493">INDEX('Лист2'!$D$2:$D$505, MATCH(A493&amp;B493, 'Лист2'!$A$2:$A$505&amp;'Лист2'!$B$2:$B$505, 0))</f>
        <v>409</v>
      </c>
      <c r="G493" s="8">
        <f t="array" ref="G493">INDEX('Лист2'!$E$2:$E$505, MATCH(A493&amp;B493, 'Лист2'!$A$2:$A$505&amp;'Лист2'!$B$2:$B$505, 0))</f>
        <v>329</v>
      </c>
      <c r="H493" s="9">
        <f t="shared" si="1"/>
        <v>1194.642857</v>
      </c>
      <c r="I493" s="9">
        <f t="shared" si="2"/>
        <v>22</v>
      </c>
      <c r="J493" s="10">
        <f t="shared" si="3"/>
        <v>0.01385800523</v>
      </c>
    </row>
    <row r="494" ht="14.25" customHeight="1">
      <c r="A494" s="6">
        <v>43973.0</v>
      </c>
      <c r="B494" s="7" t="s">
        <v>24</v>
      </c>
      <c r="C494" s="7">
        <v>17008.5</v>
      </c>
      <c r="D494" s="7">
        <v>1398771.0</v>
      </c>
      <c r="E494" s="8">
        <f t="array" ref="E494">INDEX('Лист2'!$C$2:$C$505, MATCH(A494&amp;B494, 'Лист2'!$A$2:$A$505&amp;'Лист2'!$B$2:$B$505, 0))</f>
        <v>18</v>
      </c>
      <c r="F494" s="8">
        <f t="array" ref="F494">INDEX('Лист2'!$D$2:$D$505, MATCH(A494&amp;B494, 'Лист2'!$A$2:$A$505&amp;'Лист2'!$B$2:$B$505, 0))</f>
        <v>985</v>
      </c>
      <c r="G494" s="8">
        <f t="array" ref="G494">INDEX('Лист2'!$E$2:$E$505, MATCH(A494&amp;B494, 'Лист2'!$A$2:$A$505&amp;'Лист2'!$B$2:$B$505, 0))</f>
        <v>861</v>
      </c>
      <c r="H494" s="9">
        <f t="shared" si="1"/>
        <v>944.9166667</v>
      </c>
      <c r="I494" s="9">
        <f t="shared" si="2"/>
        <v>21</v>
      </c>
      <c r="J494" s="10">
        <f t="shared" si="3"/>
        <v>0.02818762082</v>
      </c>
    </row>
    <row r="495" ht="14.25" customHeight="1">
      <c r="A495" s="11">
        <v>43983.0</v>
      </c>
      <c r="B495" s="12" t="s">
        <v>26</v>
      </c>
      <c r="C495" s="12">
        <v>5166.0</v>
      </c>
      <c r="D495" s="12">
        <v>389013.0</v>
      </c>
      <c r="E495" s="8">
        <f t="array" ref="E495">INDEX('Лист2'!$C$2:$C$505, MATCH(A495&amp;B495, 'Лист2'!$A$2:$A$505&amp;'Лист2'!$B$2:$B$505, 0))</f>
        <v>9</v>
      </c>
      <c r="F495" s="8">
        <f t="array" ref="F495">INDEX('Лист2'!$D$2:$D$505, MATCH(A495&amp;B495, 'Лист2'!$A$2:$A$505&amp;'Лист2'!$B$2:$B$505, 0))</f>
        <v>294</v>
      </c>
      <c r="G495" s="8">
        <f t="array" ref="G495">INDEX('Лист2'!$E$2:$E$505, MATCH(A495&amp;B495, 'Лист2'!$A$2:$A$505&amp;'Лист2'!$B$2:$B$505, 0))</f>
        <v>224</v>
      </c>
      <c r="H495" s="9">
        <f t="shared" si="1"/>
        <v>574</v>
      </c>
      <c r="I495" s="9">
        <f t="shared" si="2"/>
        <v>23</v>
      </c>
      <c r="J495" s="10">
        <f t="shared" si="3"/>
        <v>0.007839275292</v>
      </c>
    </row>
    <row r="496" ht="14.25" customHeight="1">
      <c r="A496" s="6">
        <v>43962.0</v>
      </c>
      <c r="B496" s="7" t="s">
        <v>24</v>
      </c>
      <c r="C496" s="7">
        <v>10941.0</v>
      </c>
      <c r="D496" s="7">
        <v>880356.0</v>
      </c>
      <c r="E496" s="8">
        <f t="array" ref="E496">INDEX('Лист2'!$C$2:$C$505, MATCH(A496&amp;B496, 'Лист2'!$A$2:$A$505&amp;'Лист2'!$B$2:$B$505, 0))</f>
        <v>15</v>
      </c>
      <c r="F496" s="8">
        <f t="array" ref="F496">INDEX('Лист2'!$D$2:$D$505, MATCH(A496&amp;B496, 'Лист2'!$A$2:$A$505&amp;'Лист2'!$B$2:$B$505, 0))</f>
        <v>654</v>
      </c>
      <c r="G496" s="8">
        <f t="array" ref="G496">INDEX('Лист2'!$E$2:$E$505, MATCH(A496&amp;B496, 'Лист2'!$A$2:$A$505&amp;'Лист2'!$B$2:$B$505, 0))</f>
        <v>564</v>
      </c>
      <c r="H496" s="9">
        <f t="shared" si="1"/>
        <v>729.4</v>
      </c>
      <c r="I496" s="9">
        <f t="shared" si="2"/>
        <v>20</v>
      </c>
      <c r="J496" s="10">
        <f t="shared" si="3"/>
        <v>0.01774067458</v>
      </c>
    </row>
    <row r="497" ht="14.25" customHeight="1">
      <c r="A497" s="11">
        <v>43969.0</v>
      </c>
      <c r="B497" s="12" t="s">
        <v>24</v>
      </c>
      <c r="C497" s="12">
        <v>14497.5</v>
      </c>
      <c r="D497" s="12">
        <v>1230711.0</v>
      </c>
      <c r="E497" s="8">
        <f t="array" ref="E497">INDEX('Лист2'!$C$2:$C$505, MATCH(A497&amp;B497, 'Лист2'!$A$2:$A$505&amp;'Лист2'!$B$2:$B$505, 0))</f>
        <v>16</v>
      </c>
      <c r="F497" s="8">
        <f t="array" ref="F497">INDEX('Лист2'!$D$2:$D$505, MATCH(A497&amp;B497, 'Лист2'!$A$2:$A$505&amp;'Лист2'!$B$2:$B$505, 0))</f>
        <v>864</v>
      </c>
      <c r="G497" s="8">
        <f t="array" ref="G497">INDEX('Лист2'!$E$2:$E$505, MATCH(A497&amp;B497, 'Лист2'!$A$2:$A$505&amp;'Лист2'!$B$2:$B$505, 0))</f>
        <v>765</v>
      </c>
      <c r="H497" s="9">
        <f t="shared" si="1"/>
        <v>906.09375</v>
      </c>
      <c r="I497" s="9">
        <f t="shared" si="2"/>
        <v>21</v>
      </c>
      <c r="J497" s="10">
        <f t="shared" si="3"/>
        <v>0.02480092525</v>
      </c>
    </row>
    <row r="498" ht="14.25" customHeight="1">
      <c r="A498" s="6">
        <v>43965.0</v>
      </c>
      <c r="B498" s="7" t="s">
        <v>24</v>
      </c>
      <c r="C498" s="7">
        <v>13810.5</v>
      </c>
      <c r="D498" s="7">
        <v>1131676.5</v>
      </c>
      <c r="E498" s="8">
        <f t="array" ref="E498">INDEX('Лист2'!$C$2:$C$505, MATCH(A498&amp;B498, 'Лист2'!$A$2:$A$505&amp;'Лист2'!$B$2:$B$505, 0))</f>
        <v>16</v>
      </c>
      <c r="F498" s="8">
        <f t="array" ref="F498">INDEX('Лист2'!$D$2:$D$505, MATCH(A498&amp;B498, 'Лист2'!$A$2:$A$505&amp;'Лист2'!$B$2:$B$505, 0))</f>
        <v>834</v>
      </c>
      <c r="G498" s="8">
        <f t="array" ref="G498">INDEX('Лист2'!$E$2:$E$505, MATCH(A498&amp;B498, 'Лист2'!$A$2:$A$505&amp;'Лист2'!$B$2:$B$505, 0))</f>
        <v>735</v>
      </c>
      <c r="H498" s="9">
        <f t="shared" si="1"/>
        <v>863.15625</v>
      </c>
      <c r="I498" s="9">
        <f t="shared" si="2"/>
        <v>20</v>
      </c>
      <c r="J498" s="10">
        <f t="shared" si="3"/>
        <v>0.0228052112</v>
      </c>
    </row>
    <row r="499" ht="14.25" customHeight="1">
      <c r="A499" s="11">
        <v>43966.0</v>
      </c>
      <c r="B499" s="12" t="s">
        <v>24</v>
      </c>
      <c r="C499" s="12">
        <v>13752.0</v>
      </c>
      <c r="D499" s="12">
        <v>1091040.0</v>
      </c>
      <c r="E499" s="8">
        <f t="array" ref="E499">INDEX('Лист2'!$C$2:$C$505, MATCH(A499&amp;B499, 'Лист2'!$A$2:$A$505&amp;'Лист2'!$B$2:$B$505, 0))</f>
        <v>16</v>
      </c>
      <c r="F499" s="8">
        <f t="array" ref="F499">INDEX('Лист2'!$D$2:$D$505, MATCH(A499&amp;B499, 'Лист2'!$A$2:$A$505&amp;'Лист2'!$B$2:$B$505, 0))</f>
        <v>817</v>
      </c>
      <c r="G499" s="8">
        <f t="array" ref="G499">INDEX('Лист2'!$E$2:$E$505, MATCH(A499&amp;B499, 'Лист2'!$A$2:$A$505&amp;'Лист2'!$B$2:$B$505, 0))</f>
        <v>718</v>
      </c>
      <c r="H499" s="9">
        <f t="shared" si="1"/>
        <v>859.5</v>
      </c>
      <c r="I499" s="9">
        <f t="shared" si="2"/>
        <v>20</v>
      </c>
      <c r="J499" s="10">
        <f t="shared" si="3"/>
        <v>0.02198631643</v>
      </c>
    </row>
    <row r="500" ht="14.25" customHeight="1">
      <c r="A500" s="6">
        <v>43978.0</v>
      </c>
      <c r="B500" s="7" t="s">
        <v>24</v>
      </c>
      <c r="C500" s="7">
        <v>15276.0</v>
      </c>
      <c r="D500" s="7">
        <v>1350199.5</v>
      </c>
      <c r="E500" s="8">
        <f t="array" ref="E500">INDEX('Лист2'!$C$2:$C$505, MATCH(A500&amp;B500, 'Лист2'!$A$2:$A$505&amp;'Лист2'!$B$2:$B$505, 0))</f>
        <v>18</v>
      </c>
      <c r="F500" s="8">
        <f t="array" ref="F500">INDEX('Лист2'!$D$2:$D$505, MATCH(A500&amp;B500, 'Лист2'!$A$2:$A$505&amp;'Лист2'!$B$2:$B$505, 0))</f>
        <v>962</v>
      </c>
      <c r="G500" s="8">
        <f t="array" ref="G500">INDEX('Лист2'!$E$2:$E$505, MATCH(A500&amp;B500, 'Лист2'!$A$2:$A$505&amp;'Лист2'!$B$2:$B$505, 0))</f>
        <v>859</v>
      </c>
      <c r="H500" s="9">
        <f t="shared" si="1"/>
        <v>848.6666667</v>
      </c>
      <c r="I500" s="9">
        <f t="shared" si="2"/>
        <v>22</v>
      </c>
      <c r="J500" s="10">
        <f t="shared" si="3"/>
        <v>0.02720882227</v>
      </c>
    </row>
    <row r="501" ht="14.25" customHeight="1">
      <c r="A501" s="11">
        <v>43983.0</v>
      </c>
      <c r="B501" s="12" t="s">
        <v>27</v>
      </c>
      <c r="C501" s="12">
        <v>4408.5</v>
      </c>
      <c r="D501" s="12">
        <v>410892.0</v>
      </c>
      <c r="E501" s="8">
        <f t="array" ref="E501">INDEX('Лист2'!$C$2:$C$505, MATCH(A501&amp;B501, 'Лист2'!$A$2:$A$505&amp;'Лист2'!$B$2:$B$505, 0))</f>
        <v>6</v>
      </c>
      <c r="F501" s="8">
        <f t="array" ref="F501">INDEX('Лист2'!$D$2:$D$505, MATCH(A501&amp;B501, 'Лист2'!$A$2:$A$505&amp;'Лист2'!$B$2:$B$505, 0))</f>
        <v>237</v>
      </c>
      <c r="G501" s="8">
        <f t="array" ref="G501">INDEX('Лист2'!$E$2:$E$505, MATCH(A501&amp;B501, 'Лист2'!$A$2:$A$505&amp;'Лист2'!$B$2:$B$505, 0))</f>
        <v>175</v>
      </c>
      <c r="H501" s="9">
        <f t="shared" si="1"/>
        <v>734.75</v>
      </c>
      <c r="I501" s="9">
        <f t="shared" si="2"/>
        <v>23</v>
      </c>
      <c r="J501" s="10">
        <f t="shared" si="3"/>
        <v>0.00828017445</v>
      </c>
    </row>
    <row r="502" ht="14.25" customHeight="1">
      <c r="A502" s="6">
        <v>43980.0</v>
      </c>
      <c r="B502" s="7" t="s">
        <v>25</v>
      </c>
      <c r="C502" s="7">
        <v>9927.0</v>
      </c>
      <c r="D502" s="7">
        <v>850840.5</v>
      </c>
      <c r="E502" s="8">
        <f t="array" ref="E502">INDEX('Лист2'!$C$2:$C$505, MATCH(A502&amp;B502, 'Лист2'!$A$2:$A$505&amp;'Лист2'!$B$2:$B$505, 0))</f>
        <v>7</v>
      </c>
      <c r="F502" s="8">
        <f t="array" ref="F502">INDEX('Лист2'!$D$2:$D$505, MATCH(A502&amp;B502, 'Лист2'!$A$2:$A$505&amp;'Лист2'!$B$2:$B$505, 0))</f>
        <v>491</v>
      </c>
      <c r="G502" s="8">
        <f t="array" ref="G502">INDEX('Лист2'!$E$2:$E$505, MATCH(A502&amp;B502, 'Лист2'!$A$2:$A$505&amp;'Лист2'!$B$2:$B$505, 0))</f>
        <v>411</v>
      </c>
      <c r="H502" s="9">
        <f t="shared" si="1"/>
        <v>1418.142857</v>
      </c>
      <c r="I502" s="9">
        <f t="shared" si="2"/>
        <v>22</v>
      </c>
      <c r="J502" s="10">
        <f t="shared" si="3"/>
        <v>0.01714588692</v>
      </c>
    </row>
    <row r="503" ht="14.25" customHeight="1">
      <c r="A503" s="11">
        <v>43983.0</v>
      </c>
      <c r="B503" s="12" t="s">
        <v>25</v>
      </c>
      <c r="C503" s="12">
        <v>9474.0</v>
      </c>
      <c r="D503" s="12">
        <v>802447.5</v>
      </c>
      <c r="E503" s="8">
        <f t="array" ref="E503">INDEX('Лист2'!$C$2:$C$505, MATCH(A503&amp;B503, 'Лист2'!$A$2:$A$505&amp;'Лист2'!$B$2:$B$505, 0))</f>
        <v>7</v>
      </c>
      <c r="F503" s="8">
        <f t="array" ref="F503">INDEX('Лист2'!$D$2:$D$505, MATCH(A503&amp;B503, 'Лист2'!$A$2:$A$505&amp;'Лист2'!$B$2:$B$505, 0))</f>
        <v>500</v>
      </c>
      <c r="G503" s="8">
        <f t="array" ref="G503">INDEX('Лист2'!$E$2:$E$505, MATCH(A503&amp;B503, 'Лист2'!$A$2:$A$505&amp;'Лист2'!$B$2:$B$505, 0))</f>
        <v>418</v>
      </c>
      <c r="H503" s="9">
        <f t="shared" si="1"/>
        <v>1353.428571</v>
      </c>
      <c r="I503" s="9">
        <f t="shared" si="2"/>
        <v>23</v>
      </c>
      <c r="J503" s="10">
        <f t="shared" si="3"/>
        <v>0.01617068545</v>
      </c>
    </row>
    <row r="504" ht="14.25" customHeight="1">
      <c r="A504" s="6">
        <v>43980.0</v>
      </c>
      <c r="B504" s="7" t="s">
        <v>24</v>
      </c>
      <c r="C504" s="7">
        <v>16878.0</v>
      </c>
      <c r="D504" s="7">
        <v>1438255.5</v>
      </c>
      <c r="E504" s="8">
        <f t="array" ref="E504">INDEX('Лист2'!$C$2:$C$505, MATCH(A504&amp;B504, 'Лист2'!$A$2:$A$505&amp;'Лист2'!$B$2:$B$505, 0))</f>
        <v>18</v>
      </c>
      <c r="F504" s="8">
        <f t="array" ref="F504">INDEX('Лист2'!$D$2:$D$505, MATCH(A504&amp;B504, 'Лист2'!$A$2:$A$505&amp;'Лист2'!$B$2:$B$505, 0))</f>
        <v>1014</v>
      </c>
      <c r="G504" s="8">
        <f t="array" ref="G504">INDEX('Лист2'!$E$2:$E$505, MATCH(A504&amp;B504, 'Лист2'!$A$2:$A$505&amp;'Лист2'!$B$2:$B$505, 0))</f>
        <v>893</v>
      </c>
      <c r="H504" s="9">
        <f t="shared" si="1"/>
        <v>937.6666667</v>
      </c>
      <c r="I504" s="9">
        <f t="shared" si="2"/>
        <v>22</v>
      </c>
      <c r="J504" s="10">
        <f t="shared" si="3"/>
        <v>0.02898330083</v>
      </c>
    </row>
    <row r="505" ht="14.25" customHeight="1">
      <c r="A505" s="13">
        <v>43983.0</v>
      </c>
      <c r="B505" s="14" t="s">
        <v>24</v>
      </c>
      <c r="C505" s="14">
        <v>14238.0</v>
      </c>
      <c r="D505" s="14">
        <v>1293219.0</v>
      </c>
      <c r="E505" s="8">
        <f t="array" ref="E505">INDEX('Лист2'!$C$2:$C$505, MATCH(A505&amp;B505, 'Лист2'!$A$2:$A$505&amp;'Лист2'!$B$2:$B$505, 0))</f>
        <v>18</v>
      </c>
      <c r="F505" s="8">
        <f t="array" ref="F505">INDEX('Лист2'!$D$2:$D$505, MATCH(A505&amp;B505, 'Лист2'!$A$2:$A$505&amp;'Лист2'!$B$2:$B$505, 0))</f>
        <v>923</v>
      </c>
      <c r="G505" s="8">
        <f t="array" ref="G505">INDEX('Лист2'!$E$2:$E$505, MATCH(A505&amp;B505, 'Лист2'!$A$2:$A$505&amp;'Лист2'!$B$2:$B$505, 0))</f>
        <v>824</v>
      </c>
      <c r="H505" s="9">
        <f t="shared" si="1"/>
        <v>791</v>
      </c>
      <c r="I505" s="9">
        <f t="shared" si="2"/>
        <v>23</v>
      </c>
      <c r="J505" s="10">
        <f t="shared" si="3"/>
        <v>0.02606056804</v>
      </c>
    </row>
    <row r="506" ht="14.25" customHeight="1">
      <c r="J506" s="10"/>
    </row>
    <row r="507" ht="14.25" customHeight="1">
      <c r="J507" s="10"/>
    </row>
    <row r="508" ht="14.25" customHeight="1">
      <c r="J508" s="10"/>
    </row>
    <row r="509" ht="14.25" customHeight="1">
      <c r="J509" s="10"/>
    </row>
    <row r="510" ht="14.25" customHeight="1">
      <c r="J510" s="10"/>
    </row>
    <row r="511" ht="14.25" customHeight="1">
      <c r="J511" s="10"/>
    </row>
    <row r="512" ht="14.25" customHeight="1">
      <c r="J512" s="10"/>
    </row>
    <row r="513" ht="14.25" customHeight="1">
      <c r="J513" s="10"/>
    </row>
    <row r="514" ht="14.25" customHeight="1">
      <c r="J514" s="10"/>
    </row>
    <row r="515" ht="14.25" customHeight="1">
      <c r="J515" s="10"/>
    </row>
    <row r="516" ht="14.25" customHeight="1">
      <c r="J516" s="10"/>
    </row>
    <row r="517" ht="14.25" customHeight="1">
      <c r="J517" s="10"/>
    </row>
    <row r="518" ht="14.25" customHeight="1">
      <c r="J518" s="10"/>
    </row>
    <row r="519" ht="14.25" customHeight="1">
      <c r="J519" s="10"/>
    </row>
    <row r="520" ht="14.25" customHeight="1">
      <c r="J520" s="10"/>
    </row>
    <row r="521" ht="14.25" customHeight="1">
      <c r="J521" s="10"/>
    </row>
    <row r="522" ht="14.25" customHeight="1">
      <c r="J522" s="10"/>
    </row>
    <row r="523" ht="14.25" customHeight="1">
      <c r="J523" s="10"/>
    </row>
    <row r="524" ht="14.25" customHeight="1">
      <c r="J524" s="10"/>
    </row>
    <row r="525" ht="14.25" customHeight="1">
      <c r="J525" s="10"/>
    </row>
    <row r="526" ht="14.25" customHeight="1">
      <c r="J526" s="10"/>
    </row>
    <row r="527" ht="14.25" customHeight="1">
      <c r="J527" s="10"/>
    </row>
    <row r="528" ht="14.25" customHeight="1">
      <c r="J528" s="10"/>
    </row>
    <row r="529" ht="14.25" customHeight="1">
      <c r="J529" s="10"/>
    </row>
    <row r="530" ht="14.25" customHeight="1">
      <c r="J530" s="10"/>
    </row>
    <row r="531" ht="14.25" customHeight="1">
      <c r="J531" s="10"/>
    </row>
    <row r="532" ht="14.25" customHeight="1">
      <c r="J532" s="10"/>
    </row>
    <row r="533" ht="14.25" customHeight="1">
      <c r="J533" s="10"/>
    </row>
    <row r="534" ht="14.25" customHeight="1">
      <c r="J534" s="10"/>
    </row>
    <row r="535" ht="14.25" customHeight="1">
      <c r="J535" s="10"/>
    </row>
    <row r="536" ht="14.25" customHeight="1">
      <c r="J536" s="10"/>
    </row>
    <row r="537" ht="14.25" customHeight="1">
      <c r="J537" s="10"/>
    </row>
    <row r="538" ht="14.25" customHeight="1">
      <c r="J538" s="10"/>
    </row>
    <row r="539" ht="14.25" customHeight="1">
      <c r="J539" s="10"/>
    </row>
    <row r="540" ht="14.25" customHeight="1">
      <c r="J540" s="10"/>
    </row>
    <row r="541" ht="14.25" customHeight="1">
      <c r="J541" s="10"/>
    </row>
    <row r="542" ht="14.25" customHeight="1">
      <c r="J542" s="10"/>
    </row>
    <row r="543" ht="14.25" customHeight="1">
      <c r="J543" s="10"/>
    </row>
    <row r="544" ht="14.25" customHeight="1">
      <c r="J544" s="10"/>
    </row>
    <row r="545" ht="14.25" customHeight="1">
      <c r="J545" s="10"/>
    </row>
    <row r="546" ht="14.25" customHeight="1">
      <c r="J546" s="10"/>
    </row>
    <row r="547" ht="14.25" customHeight="1">
      <c r="J547" s="10"/>
    </row>
    <row r="548" ht="14.25" customHeight="1">
      <c r="J548" s="10"/>
    </row>
    <row r="549" ht="14.25" customHeight="1">
      <c r="J549" s="10"/>
    </row>
    <row r="550" ht="14.25" customHeight="1">
      <c r="J550" s="10"/>
    </row>
    <row r="551" ht="14.25" customHeight="1">
      <c r="J551" s="10"/>
    </row>
    <row r="552" ht="14.25" customHeight="1">
      <c r="J552" s="10"/>
    </row>
    <row r="553" ht="14.25" customHeight="1">
      <c r="J553" s="10"/>
    </row>
    <row r="554" ht="14.25" customHeight="1">
      <c r="J554" s="10"/>
    </row>
    <row r="555" ht="14.25" customHeight="1">
      <c r="J555" s="10"/>
    </row>
    <row r="556" ht="14.25" customHeight="1">
      <c r="J556" s="10"/>
    </row>
    <row r="557" ht="14.25" customHeight="1">
      <c r="J557" s="10"/>
    </row>
    <row r="558" ht="14.25" customHeight="1">
      <c r="J558" s="10"/>
    </row>
    <row r="559" ht="14.25" customHeight="1">
      <c r="J559" s="10"/>
    </row>
    <row r="560" ht="14.25" customHeight="1">
      <c r="J560" s="10"/>
    </row>
    <row r="561" ht="14.25" customHeight="1">
      <c r="J561" s="10"/>
    </row>
    <row r="562" ht="14.25" customHeight="1">
      <c r="J562" s="10"/>
    </row>
    <row r="563" ht="14.25" customHeight="1">
      <c r="J563" s="10"/>
    </row>
    <row r="564" ht="14.25" customHeight="1">
      <c r="J564" s="10"/>
    </row>
    <row r="565" ht="14.25" customHeight="1">
      <c r="J565" s="10"/>
    </row>
    <row r="566" ht="14.25" customHeight="1">
      <c r="J566" s="10"/>
    </row>
    <row r="567" ht="14.25" customHeight="1">
      <c r="J567" s="10"/>
    </row>
    <row r="568" ht="14.25" customHeight="1">
      <c r="J568" s="10"/>
    </row>
    <row r="569" ht="14.25" customHeight="1">
      <c r="J569" s="10"/>
    </row>
    <row r="570" ht="14.25" customHeight="1">
      <c r="J570" s="10"/>
    </row>
    <row r="571" ht="14.25" customHeight="1">
      <c r="J571" s="10"/>
    </row>
    <row r="572" ht="14.25" customHeight="1">
      <c r="J572" s="10"/>
    </row>
    <row r="573" ht="14.25" customHeight="1">
      <c r="J573" s="10"/>
    </row>
    <row r="574" ht="14.25" customHeight="1">
      <c r="J574" s="10"/>
    </row>
    <row r="575" ht="14.25" customHeight="1">
      <c r="J575" s="10"/>
    </row>
    <row r="576" ht="14.25" customHeight="1">
      <c r="J576" s="10"/>
    </row>
    <row r="577" ht="14.25" customHeight="1">
      <c r="J577" s="10"/>
    </row>
    <row r="578" ht="14.25" customHeight="1">
      <c r="J578" s="10"/>
    </row>
    <row r="579" ht="14.25" customHeight="1">
      <c r="J579" s="10"/>
    </row>
    <row r="580" ht="14.25" customHeight="1">
      <c r="J580" s="10"/>
    </row>
    <row r="581" ht="14.25" customHeight="1">
      <c r="J581" s="10"/>
    </row>
    <row r="582" ht="14.25" customHeight="1">
      <c r="J582" s="10"/>
    </row>
    <row r="583" ht="14.25" customHeight="1">
      <c r="J583" s="10"/>
    </row>
    <row r="584" ht="14.25" customHeight="1">
      <c r="J584" s="10"/>
    </row>
    <row r="585" ht="14.25" customHeight="1">
      <c r="J585" s="10"/>
    </row>
    <row r="586" ht="14.25" customHeight="1">
      <c r="J586" s="10"/>
    </row>
    <row r="587" ht="14.25" customHeight="1">
      <c r="J587" s="10"/>
    </row>
    <row r="588" ht="14.25" customHeight="1">
      <c r="J588" s="10"/>
    </row>
    <row r="589" ht="14.25" customHeight="1">
      <c r="J589" s="10"/>
    </row>
    <row r="590" ht="14.25" customHeight="1">
      <c r="J590" s="10"/>
    </row>
    <row r="591" ht="14.25" customHeight="1">
      <c r="J591" s="10"/>
    </row>
    <row r="592" ht="14.25" customHeight="1">
      <c r="J592" s="10"/>
    </row>
    <row r="593" ht="14.25" customHeight="1">
      <c r="J593" s="10"/>
    </row>
    <row r="594" ht="14.25" customHeight="1">
      <c r="J594" s="10"/>
    </row>
    <row r="595" ht="14.25" customHeight="1">
      <c r="J595" s="10"/>
    </row>
    <row r="596" ht="14.25" customHeight="1">
      <c r="J596" s="10"/>
    </row>
    <row r="597" ht="14.25" customHeight="1">
      <c r="J597" s="10"/>
    </row>
    <row r="598" ht="14.25" customHeight="1">
      <c r="J598" s="10"/>
    </row>
    <row r="599" ht="14.25" customHeight="1">
      <c r="J599" s="10"/>
    </row>
    <row r="600" ht="14.25" customHeight="1">
      <c r="J600" s="10"/>
    </row>
    <row r="601" ht="14.25" customHeight="1">
      <c r="J601" s="10"/>
    </row>
    <row r="602" ht="14.25" customHeight="1">
      <c r="J602" s="10"/>
    </row>
    <row r="603" ht="14.25" customHeight="1">
      <c r="J603" s="10"/>
    </row>
    <row r="604" ht="14.25" customHeight="1">
      <c r="J604" s="10"/>
    </row>
    <row r="605" ht="14.25" customHeight="1">
      <c r="J605" s="10"/>
    </row>
    <row r="606" ht="14.25" customHeight="1">
      <c r="J606" s="10"/>
    </row>
    <row r="607" ht="14.25" customHeight="1">
      <c r="J607" s="10"/>
    </row>
    <row r="608" ht="14.25" customHeight="1">
      <c r="J608" s="10"/>
    </row>
    <row r="609" ht="14.25" customHeight="1">
      <c r="J609" s="10"/>
    </row>
    <row r="610" ht="14.25" customHeight="1">
      <c r="J610" s="10"/>
    </row>
    <row r="611" ht="14.25" customHeight="1">
      <c r="J611" s="10"/>
    </row>
    <row r="612" ht="14.25" customHeight="1">
      <c r="J612" s="10"/>
    </row>
    <row r="613" ht="14.25" customHeight="1">
      <c r="J613" s="10"/>
    </row>
    <row r="614" ht="14.25" customHeight="1">
      <c r="J614" s="10"/>
    </row>
    <row r="615" ht="14.25" customHeight="1">
      <c r="J615" s="10"/>
    </row>
    <row r="616" ht="14.25" customHeight="1">
      <c r="J616" s="10"/>
    </row>
    <row r="617" ht="14.25" customHeight="1">
      <c r="J617" s="10"/>
    </row>
    <row r="618" ht="14.25" customHeight="1">
      <c r="J618" s="10"/>
    </row>
    <row r="619" ht="14.25" customHeight="1">
      <c r="J619" s="10"/>
    </row>
    <row r="620" ht="14.25" customHeight="1">
      <c r="J620" s="10"/>
    </row>
    <row r="621" ht="14.25" customHeight="1">
      <c r="J621" s="10"/>
    </row>
    <row r="622" ht="14.25" customHeight="1">
      <c r="J622" s="10"/>
    </row>
    <row r="623" ht="14.25" customHeight="1">
      <c r="J623" s="10"/>
    </row>
    <row r="624" ht="14.25" customHeight="1">
      <c r="J624" s="10"/>
    </row>
    <row r="625" ht="14.25" customHeight="1">
      <c r="J625" s="10"/>
    </row>
    <row r="626" ht="14.25" customHeight="1">
      <c r="J626" s="10"/>
    </row>
    <row r="627" ht="14.25" customHeight="1">
      <c r="J627" s="10"/>
    </row>
    <row r="628" ht="14.25" customHeight="1">
      <c r="J628" s="10"/>
    </row>
    <row r="629" ht="14.25" customHeight="1">
      <c r="J629" s="10"/>
    </row>
    <row r="630" ht="14.25" customHeight="1">
      <c r="J630" s="10"/>
    </row>
    <row r="631" ht="14.25" customHeight="1">
      <c r="J631" s="10"/>
    </row>
    <row r="632" ht="14.25" customHeight="1">
      <c r="J632" s="10"/>
    </row>
    <row r="633" ht="14.25" customHeight="1">
      <c r="J633" s="10"/>
    </row>
    <row r="634" ht="14.25" customHeight="1">
      <c r="J634" s="10"/>
    </row>
    <row r="635" ht="14.25" customHeight="1">
      <c r="J635" s="10"/>
    </row>
    <row r="636" ht="14.25" customHeight="1">
      <c r="J636" s="10"/>
    </row>
    <row r="637" ht="14.25" customHeight="1">
      <c r="J637" s="10"/>
    </row>
    <row r="638" ht="14.25" customHeight="1">
      <c r="J638" s="10"/>
    </row>
    <row r="639" ht="14.25" customHeight="1">
      <c r="J639" s="10"/>
    </row>
    <row r="640" ht="14.25" customHeight="1">
      <c r="J640" s="10"/>
    </row>
    <row r="641" ht="14.25" customHeight="1">
      <c r="J641" s="10"/>
    </row>
    <row r="642" ht="14.25" customHeight="1">
      <c r="J642" s="10"/>
    </row>
    <row r="643" ht="14.25" customHeight="1">
      <c r="J643" s="10"/>
    </row>
    <row r="644" ht="14.25" customHeight="1">
      <c r="J644" s="10"/>
    </row>
    <row r="645" ht="14.25" customHeight="1">
      <c r="J645" s="10"/>
    </row>
    <row r="646" ht="14.25" customHeight="1">
      <c r="J646" s="10"/>
    </row>
    <row r="647" ht="14.25" customHeight="1">
      <c r="J647" s="10"/>
    </row>
    <row r="648" ht="14.25" customHeight="1">
      <c r="J648" s="10"/>
    </row>
    <row r="649" ht="14.25" customHeight="1">
      <c r="J649" s="10"/>
    </row>
    <row r="650" ht="14.25" customHeight="1">
      <c r="J650" s="10"/>
    </row>
    <row r="651" ht="14.25" customHeight="1">
      <c r="J651" s="10"/>
    </row>
    <row r="652" ht="14.25" customHeight="1">
      <c r="J652" s="10"/>
    </row>
    <row r="653" ht="14.25" customHeight="1">
      <c r="J653" s="10"/>
    </row>
    <row r="654" ht="14.25" customHeight="1">
      <c r="J654" s="10"/>
    </row>
    <row r="655" ht="14.25" customHeight="1">
      <c r="J655" s="10"/>
    </row>
    <row r="656" ht="14.25" customHeight="1">
      <c r="J656" s="10"/>
    </row>
    <row r="657" ht="14.25" customHeight="1">
      <c r="J657" s="10"/>
    </row>
    <row r="658" ht="14.25" customHeight="1">
      <c r="J658" s="10"/>
    </row>
    <row r="659" ht="14.25" customHeight="1">
      <c r="J659" s="10"/>
    </row>
    <row r="660" ht="14.25" customHeight="1">
      <c r="J660" s="10"/>
    </row>
    <row r="661" ht="14.25" customHeight="1">
      <c r="J661" s="10"/>
    </row>
    <row r="662" ht="14.25" customHeight="1">
      <c r="J662" s="10"/>
    </row>
    <row r="663" ht="14.25" customHeight="1">
      <c r="J663" s="10"/>
    </row>
    <row r="664" ht="14.25" customHeight="1">
      <c r="J664" s="10"/>
    </row>
    <row r="665" ht="14.25" customHeight="1">
      <c r="J665" s="10"/>
    </row>
    <row r="666" ht="14.25" customHeight="1">
      <c r="J666" s="10"/>
    </row>
    <row r="667" ht="14.25" customHeight="1">
      <c r="J667" s="10"/>
    </row>
    <row r="668" ht="14.25" customHeight="1">
      <c r="J668" s="10"/>
    </row>
    <row r="669" ht="14.25" customHeight="1">
      <c r="J669" s="10"/>
    </row>
    <row r="670" ht="14.25" customHeight="1">
      <c r="J670" s="10"/>
    </row>
    <row r="671" ht="14.25" customHeight="1">
      <c r="J671" s="10"/>
    </row>
    <row r="672" ht="14.25" customHeight="1">
      <c r="J672" s="10"/>
    </row>
    <row r="673" ht="14.25" customHeight="1">
      <c r="J673" s="10"/>
    </row>
    <row r="674" ht="14.25" customHeight="1">
      <c r="J674" s="10"/>
    </row>
    <row r="675" ht="14.25" customHeight="1">
      <c r="J675" s="10"/>
    </row>
    <row r="676" ht="14.25" customHeight="1">
      <c r="J676" s="10"/>
    </row>
    <row r="677" ht="14.25" customHeight="1">
      <c r="J677" s="10"/>
    </row>
    <row r="678" ht="14.25" customHeight="1">
      <c r="J678" s="10"/>
    </row>
    <row r="679" ht="14.25" customHeight="1">
      <c r="J679" s="10"/>
    </row>
    <row r="680" ht="14.25" customHeight="1">
      <c r="J680" s="10"/>
    </row>
    <row r="681" ht="14.25" customHeight="1">
      <c r="J681" s="10"/>
    </row>
    <row r="682" ht="14.25" customHeight="1">
      <c r="J682" s="10"/>
    </row>
    <row r="683" ht="14.25" customHeight="1">
      <c r="J683" s="10"/>
    </row>
    <row r="684" ht="14.25" customHeight="1">
      <c r="J684" s="10"/>
    </row>
    <row r="685" ht="14.25" customHeight="1">
      <c r="J685" s="10"/>
    </row>
    <row r="686" ht="14.25" customHeight="1">
      <c r="J686" s="10"/>
    </row>
    <row r="687" ht="14.25" customHeight="1">
      <c r="J687" s="10"/>
    </row>
    <row r="688" ht="14.25" customHeight="1">
      <c r="J688" s="10"/>
    </row>
    <row r="689" ht="14.25" customHeight="1">
      <c r="J689" s="10"/>
    </row>
    <row r="690" ht="14.25" customHeight="1">
      <c r="J690" s="10"/>
    </row>
    <row r="691" ht="14.25" customHeight="1">
      <c r="J691" s="10"/>
    </row>
    <row r="692" ht="14.25" customHeight="1">
      <c r="J692" s="10"/>
    </row>
    <row r="693" ht="14.25" customHeight="1">
      <c r="J693" s="10"/>
    </row>
    <row r="694" ht="14.25" customHeight="1">
      <c r="J694" s="10"/>
    </row>
    <row r="695" ht="14.25" customHeight="1">
      <c r="J695" s="10"/>
    </row>
    <row r="696" ht="14.25" customHeight="1">
      <c r="J696" s="10"/>
    </row>
    <row r="697" ht="14.25" customHeight="1">
      <c r="J697" s="10"/>
    </row>
    <row r="698" ht="14.25" customHeight="1">
      <c r="J698" s="10"/>
    </row>
    <row r="699" ht="14.25" customHeight="1">
      <c r="J699" s="10"/>
    </row>
    <row r="700" ht="14.25" customHeight="1">
      <c r="J700" s="10"/>
    </row>
    <row r="701" ht="14.25" customHeight="1">
      <c r="J701" s="10"/>
    </row>
    <row r="702" ht="14.25" customHeight="1">
      <c r="J702" s="10"/>
    </row>
    <row r="703" ht="14.25" customHeight="1">
      <c r="J703" s="10"/>
    </row>
    <row r="704" ht="14.25" customHeight="1">
      <c r="J704" s="10"/>
    </row>
    <row r="705" ht="14.25" customHeight="1">
      <c r="J705" s="10"/>
    </row>
    <row r="706" ht="14.25" customHeight="1">
      <c r="J706" s="10"/>
    </row>
    <row r="707" ht="14.25" customHeight="1">
      <c r="J707" s="10"/>
    </row>
    <row r="708" ht="14.25" customHeight="1">
      <c r="J708" s="10"/>
    </row>
    <row r="709" ht="14.25" customHeight="1">
      <c r="J709" s="10"/>
    </row>
    <row r="710" ht="14.25" customHeight="1">
      <c r="J710" s="10"/>
    </row>
    <row r="711" ht="14.25" customHeight="1">
      <c r="J711" s="10"/>
    </row>
    <row r="712" ht="14.25" customHeight="1">
      <c r="J712" s="10"/>
    </row>
    <row r="713" ht="14.25" customHeight="1">
      <c r="J713" s="10"/>
    </row>
    <row r="714" ht="14.25" customHeight="1">
      <c r="J714" s="10"/>
    </row>
    <row r="715" ht="14.25" customHeight="1">
      <c r="J715" s="10"/>
    </row>
    <row r="716" ht="14.25" customHeight="1">
      <c r="J716" s="10"/>
    </row>
    <row r="717" ht="14.25" customHeight="1">
      <c r="J717" s="10"/>
    </row>
    <row r="718" ht="14.25" customHeight="1">
      <c r="J718" s="10"/>
    </row>
    <row r="719" ht="14.25" customHeight="1">
      <c r="J719" s="10"/>
    </row>
    <row r="720" ht="14.25" customHeight="1">
      <c r="J720" s="10"/>
    </row>
    <row r="721" ht="14.25" customHeight="1">
      <c r="J721" s="10"/>
    </row>
    <row r="722" ht="14.25" customHeight="1">
      <c r="J722" s="10"/>
    </row>
    <row r="723" ht="14.25" customHeight="1">
      <c r="J723" s="10"/>
    </row>
    <row r="724" ht="14.25" customHeight="1">
      <c r="J724" s="10"/>
    </row>
    <row r="725" ht="14.25" customHeight="1">
      <c r="J725" s="10"/>
    </row>
    <row r="726" ht="14.25" customHeight="1">
      <c r="J726" s="10"/>
    </row>
    <row r="727" ht="14.25" customHeight="1">
      <c r="J727" s="10"/>
    </row>
    <row r="728" ht="14.25" customHeight="1">
      <c r="J728" s="10"/>
    </row>
    <row r="729" ht="14.25" customHeight="1">
      <c r="J729" s="10"/>
    </row>
    <row r="730" ht="14.25" customHeight="1">
      <c r="J730" s="10"/>
    </row>
    <row r="731" ht="14.25" customHeight="1">
      <c r="J731" s="10"/>
    </row>
    <row r="732" ht="14.25" customHeight="1">
      <c r="J732" s="10"/>
    </row>
    <row r="733" ht="14.25" customHeight="1">
      <c r="J733" s="10"/>
    </row>
    <row r="734" ht="14.25" customHeight="1">
      <c r="J734" s="10"/>
    </row>
    <row r="735" ht="14.25" customHeight="1">
      <c r="J735" s="10"/>
    </row>
    <row r="736" ht="14.25" customHeight="1">
      <c r="J736" s="10"/>
    </row>
    <row r="737" ht="14.25" customHeight="1">
      <c r="J737" s="10"/>
    </row>
    <row r="738" ht="14.25" customHeight="1">
      <c r="J738" s="10"/>
    </row>
    <row r="739" ht="14.25" customHeight="1">
      <c r="J739" s="10"/>
    </row>
    <row r="740" ht="14.25" customHeight="1">
      <c r="J740" s="10"/>
    </row>
    <row r="741" ht="14.25" customHeight="1">
      <c r="J741" s="10"/>
    </row>
    <row r="742" ht="14.25" customHeight="1">
      <c r="J742" s="10"/>
    </row>
    <row r="743" ht="14.25" customHeight="1">
      <c r="J743" s="10"/>
    </row>
    <row r="744" ht="14.25" customHeight="1">
      <c r="J744" s="10"/>
    </row>
    <row r="745" ht="14.25" customHeight="1">
      <c r="J745" s="10"/>
    </row>
    <row r="746" ht="14.25" customHeight="1">
      <c r="J746" s="10"/>
    </row>
    <row r="747" ht="14.25" customHeight="1">
      <c r="J747" s="10"/>
    </row>
    <row r="748" ht="14.25" customHeight="1">
      <c r="J748" s="10"/>
    </row>
    <row r="749" ht="14.25" customHeight="1">
      <c r="J749" s="10"/>
    </row>
    <row r="750" ht="14.25" customHeight="1">
      <c r="J750" s="10"/>
    </row>
    <row r="751" ht="14.25" customHeight="1">
      <c r="J751" s="10"/>
    </row>
    <row r="752" ht="14.25" customHeight="1">
      <c r="J752" s="10"/>
    </row>
    <row r="753" ht="14.25" customHeight="1">
      <c r="J753" s="10"/>
    </row>
    <row r="754" ht="14.25" customHeight="1">
      <c r="J754" s="10"/>
    </row>
    <row r="755" ht="14.25" customHeight="1">
      <c r="J755" s="10"/>
    </row>
    <row r="756" ht="14.25" customHeight="1">
      <c r="J756" s="10"/>
    </row>
    <row r="757" ht="14.25" customHeight="1">
      <c r="J757" s="10"/>
    </row>
    <row r="758" ht="14.25" customHeight="1">
      <c r="J758" s="10"/>
    </row>
    <row r="759" ht="14.25" customHeight="1">
      <c r="J759" s="10"/>
    </row>
    <row r="760" ht="14.25" customHeight="1">
      <c r="J760" s="10"/>
    </row>
    <row r="761" ht="14.25" customHeight="1">
      <c r="J761" s="10"/>
    </row>
    <row r="762" ht="14.25" customHeight="1">
      <c r="J762" s="10"/>
    </row>
    <row r="763" ht="14.25" customHeight="1">
      <c r="J763" s="10"/>
    </row>
    <row r="764" ht="14.25" customHeight="1">
      <c r="J764" s="10"/>
    </row>
    <row r="765" ht="14.25" customHeight="1">
      <c r="J765" s="10"/>
    </row>
    <row r="766" ht="14.25" customHeight="1">
      <c r="J766" s="10"/>
    </row>
    <row r="767" ht="14.25" customHeight="1">
      <c r="J767" s="10"/>
    </row>
    <row r="768" ht="14.25" customHeight="1">
      <c r="J768" s="10"/>
    </row>
    <row r="769" ht="14.25" customHeight="1">
      <c r="J769" s="10"/>
    </row>
    <row r="770" ht="14.25" customHeight="1">
      <c r="J770" s="10"/>
    </row>
    <row r="771" ht="14.25" customHeight="1">
      <c r="J771" s="10"/>
    </row>
    <row r="772" ht="14.25" customHeight="1">
      <c r="J772" s="10"/>
    </row>
    <row r="773" ht="14.25" customHeight="1">
      <c r="J773" s="10"/>
    </row>
    <row r="774" ht="14.25" customHeight="1">
      <c r="J774" s="10"/>
    </row>
    <row r="775" ht="14.25" customHeight="1">
      <c r="J775" s="10"/>
    </row>
    <row r="776" ht="14.25" customHeight="1">
      <c r="J776" s="10"/>
    </row>
    <row r="777" ht="14.25" customHeight="1">
      <c r="J777" s="10"/>
    </row>
    <row r="778" ht="14.25" customHeight="1">
      <c r="J778" s="10"/>
    </row>
    <row r="779" ht="14.25" customHeight="1">
      <c r="J779" s="10"/>
    </row>
    <row r="780" ht="14.25" customHeight="1">
      <c r="J780" s="10"/>
    </row>
    <row r="781" ht="14.25" customHeight="1">
      <c r="J781" s="10"/>
    </row>
    <row r="782" ht="14.25" customHeight="1">
      <c r="J782" s="10"/>
    </row>
    <row r="783" ht="14.25" customHeight="1">
      <c r="J783" s="10"/>
    </row>
    <row r="784" ht="14.25" customHeight="1">
      <c r="J784" s="10"/>
    </row>
    <row r="785" ht="14.25" customHeight="1">
      <c r="J785" s="10"/>
    </row>
    <row r="786" ht="14.25" customHeight="1">
      <c r="J786" s="10"/>
    </row>
    <row r="787" ht="14.25" customHeight="1">
      <c r="J787" s="10"/>
    </row>
    <row r="788" ht="14.25" customHeight="1">
      <c r="J788" s="10"/>
    </row>
    <row r="789" ht="14.25" customHeight="1">
      <c r="J789" s="10"/>
    </row>
    <row r="790" ht="14.25" customHeight="1">
      <c r="J790" s="10"/>
    </row>
    <row r="791" ht="14.25" customHeight="1">
      <c r="J791" s="10"/>
    </row>
    <row r="792" ht="14.25" customHeight="1">
      <c r="J792" s="10"/>
    </row>
    <row r="793" ht="14.25" customHeight="1">
      <c r="J793" s="10"/>
    </row>
    <row r="794" ht="14.25" customHeight="1">
      <c r="J794" s="10"/>
    </row>
    <row r="795" ht="14.25" customHeight="1">
      <c r="J795" s="10"/>
    </row>
    <row r="796" ht="14.25" customHeight="1">
      <c r="J796" s="10"/>
    </row>
    <row r="797" ht="14.25" customHeight="1">
      <c r="J797" s="10"/>
    </row>
    <row r="798" ht="14.25" customHeight="1">
      <c r="J798" s="10"/>
    </row>
    <row r="799" ht="14.25" customHeight="1">
      <c r="J799" s="10"/>
    </row>
    <row r="800" ht="14.25" customHeight="1">
      <c r="J800" s="10"/>
    </row>
    <row r="801" ht="14.25" customHeight="1">
      <c r="J801" s="10"/>
    </row>
    <row r="802" ht="14.25" customHeight="1">
      <c r="J802" s="10"/>
    </row>
    <row r="803" ht="14.25" customHeight="1">
      <c r="J803" s="10"/>
    </row>
    <row r="804" ht="14.25" customHeight="1">
      <c r="J804" s="10"/>
    </row>
    <row r="805" ht="14.25" customHeight="1">
      <c r="J805" s="10"/>
    </row>
    <row r="806" ht="14.25" customHeight="1">
      <c r="J806" s="10"/>
    </row>
    <row r="807" ht="14.25" customHeight="1">
      <c r="J807" s="10"/>
    </row>
    <row r="808" ht="14.25" customHeight="1">
      <c r="J808" s="10"/>
    </row>
    <row r="809" ht="14.25" customHeight="1">
      <c r="J809" s="10"/>
    </row>
    <row r="810" ht="14.25" customHeight="1">
      <c r="J810" s="10"/>
    </row>
    <row r="811" ht="14.25" customHeight="1">
      <c r="J811" s="10"/>
    </row>
    <row r="812" ht="14.25" customHeight="1">
      <c r="J812" s="10"/>
    </row>
    <row r="813" ht="14.25" customHeight="1">
      <c r="J813" s="10"/>
    </row>
    <row r="814" ht="14.25" customHeight="1">
      <c r="J814" s="10"/>
    </row>
    <row r="815" ht="14.25" customHeight="1">
      <c r="J815" s="10"/>
    </row>
    <row r="816" ht="14.25" customHeight="1">
      <c r="J816" s="10"/>
    </row>
    <row r="817" ht="14.25" customHeight="1">
      <c r="J817" s="10"/>
    </row>
    <row r="818" ht="14.25" customHeight="1">
      <c r="J818" s="10"/>
    </row>
    <row r="819" ht="14.25" customHeight="1">
      <c r="J819" s="10"/>
    </row>
    <row r="820" ht="14.25" customHeight="1">
      <c r="J820" s="10"/>
    </row>
    <row r="821" ht="14.25" customHeight="1">
      <c r="J821" s="10"/>
    </row>
    <row r="822" ht="14.25" customHeight="1">
      <c r="J822" s="10"/>
    </row>
    <row r="823" ht="14.25" customHeight="1">
      <c r="J823" s="10"/>
    </row>
    <row r="824" ht="14.25" customHeight="1">
      <c r="J824" s="10"/>
    </row>
    <row r="825" ht="14.25" customHeight="1">
      <c r="J825" s="10"/>
    </row>
    <row r="826" ht="14.25" customHeight="1">
      <c r="J826" s="10"/>
    </row>
    <row r="827" ht="14.25" customHeight="1">
      <c r="J827" s="10"/>
    </row>
    <row r="828" ht="14.25" customHeight="1">
      <c r="J828" s="10"/>
    </row>
    <row r="829" ht="14.25" customHeight="1">
      <c r="J829" s="10"/>
    </row>
    <row r="830" ht="14.25" customHeight="1">
      <c r="J830" s="10"/>
    </row>
    <row r="831" ht="14.25" customHeight="1">
      <c r="J831" s="10"/>
    </row>
    <row r="832" ht="14.25" customHeight="1">
      <c r="J832" s="10"/>
    </row>
    <row r="833" ht="14.25" customHeight="1">
      <c r="J833" s="10"/>
    </row>
    <row r="834" ht="14.25" customHeight="1">
      <c r="J834" s="10"/>
    </row>
    <row r="835" ht="14.25" customHeight="1">
      <c r="J835" s="10"/>
    </row>
    <row r="836" ht="14.25" customHeight="1">
      <c r="J836" s="10"/>
    </row>
    <row r="837" ht="14.25" customHeight="1">
      <c r="J837" s="10"/>
    </row>
    <row r="838" ht="14.25" customHeight="1">
      <c r="J838" s="10"/>
    </row>
    <row r="839" ht="14.25" customHeight="1">
      <c r="J839" s="10"/>
    </row>
    <row r="840" ht="14.25" customHeight="1">
      <c r="J840" s="10"/>
    </row>
    <row r="841" ht="14.25" customHeight="1">
      <c r="J841" s="10"/>
    </row>
    <row r="842" ht="14.25" customHeight="1">
      <c r="J842" s="10"/>
    </row>
    <row r="843" ht="14.25" customHeight="1">
      <c r="J843" s="10"/>
    </row>
    <row r="844" ht="14.25" customHeight="1">
      <c r="J844" s="10"/>
    </row>
    <row r="845" ht="14.25" customHeight="1">
      <c r="J845" s="10"/>
    </row>
    <row r="846" ht="14.25" customHeight="1">
      <c r="J846" s="10"/>
    </row>
    <row r="847" ht="14.25" customHeight="1">
      <c r="J847" s="10"/>
    </row>
    <row r="848" ht="14.25" customHeight="1">
      <c r="J848" s="10"/>
    </row>
    <row r="849" ht="14.25" customHeight="1">
      <c r="J849" s="10"/>
    </row>
    <row r="850" ht="14.25" customHeight="1">
      <c r="J850" s="10"/>
    </row>
    <row r="851" ht="14.25" customHeight="1">
      <c r="J851" s="10"/>
    </row>
    <row r="852" ht="14.25" customHeight="1">
      <c r="J852" s="10"/>
    </row>
    <row r="853" ht="14.25" customHeight="1">
      <c r="J853" s="10"/>
    </row>
    <row r="854" ht="14.25" customHeight="1">
      <c r="J854" s="10"/>
    </row>
    <row r="855" ht="14.25" customHeight="1">
      <c r="J855" s="10"/>
    </row>
    <row r="856" ht="14.25" customHeight="1">
      <c r="J856" s="10"/>
    </row>
    <row r="857" ht="14.25" customHeight="1">
      <c r="J857" s="10"/>
    </row>
    <row r="858" ht="14.25" customHeight="1">
      <c r="J858" s="10"/>
    </row>
    <row r="859" ht="14.25" customHeight="1">
      <c r="J859" s="10"/>
    </row>
    <row r="860" ht="14.25" customHeight="1">
      <c r="J860" s="10"/>
    </row>
    <row r="861" ht="14.25" customHeight="1">
      <c r="J861" s="10"/>
    </row>
    <row r="862" ht="14.25" customHeight="1">
      <c r="J862" s="10"/>
    </row>
    <row r="863" ht="14.25" customHeight="1">
      <c r="J863" s="10"/>
    </row>
    <row r="864" ht="14.25" customHeight="1">
      <c r="J864" s="10"/>
    </row>
    <row r="865" ht="14.25" customHeight="1">
      <c r="J865" s="10"/>
    </row>
    <row r="866" ht="14.25" customHeight="1">
      <c r="J866" s="10"/>
    </row>
    <row r="867" ht="14.25" customHeight="1">
      <c r="J867" s="10"/>
    </row>
    <row r="868" ht="14.25" customHeight="1">
      <c r="J868" s="10"/>
    </row>
    <row r="869" ht="14.25" customHeight="1">
      <c r="J869" s="10"/>
    </row>
    <row r="870" ht="14.25" customHeight="1">
      <c r="J870" s="10"/>
    </row>
    <row r="871" ht="14.25" customHeight="1">
      <c r="J871" s="10"/>
    </row>
    <row r="872" ht="14.25" customHeight="1">
      <c r="J872" s="10"/>
    </row>
    <row r="873" ht="14.25" customHeight="1">
      <c r="J873" s="10"/>
    </row>
    <row r="874" ht="14.25" customHeight="1">
      <c r="J874" s="10"/>
    </row>
    <row r="875" ht="14.25" customHeight="1">
      <c r="J875" s="10"/>
    </row>
    <row r="876" ht="14.25" customHeight="1">
      <c r="J876" s="10"/>
    </row>
    <row r="877" ht="14.25" customHeight="1">
      <c r="J877" s="10"/>
    </row>
    <row r="878" ht="14.25" customHeight="1">
      <c r="J878" s="10"/>
    </row>
    <row r="879" ht="14.25" customHeight="1">
      <c r="J879" s="10"/>
    </row>
    <row r="880" ht="14.25" customHeight="1">
      <c r="J880" s="10"/>
    </row>
    <row r="881" ht="14.25" customHeight="1">
      <c r="J881" s="10"/>
    </row>
    <row r="882" ht="14.25" customHeight="1">
      <c r="J882" s="10"/>
    </row>
    <row r="883" ht="14.25" customHeight="1">
      <c r="J883" s="10"/>
    </row>
    <row r="884" ht="14.25" customHeight="1">
      <c r="J884" s="10"/>
    </row>
    <row r="885" ht="14.25" customHeight="1">
      <c r="J885" s="10"/>
    </row>
    <row r="886" ht="14.25" customHeight="1">
      <c r="J886" s="10"/>
    </row>
    <row r="887" ht="14.25" customHeight="1">
      <c r="J887" s="10"/>
    </row>
    <row r="888" ht="14.25" customHeight="1">
      <c r="J888" s="10"/>
    </row>
    <row r="889" ht="14.25" customHeight="1">
      <c r="J889" s="10"/>
    </row>
    <row r="890" ht="14.25" customHeight="1">
      <c r="J890" s="10"/>
    </row>
    <row r="891" ht="14.25" customHeight="1">
      <c r="J891" s="10"/>
    </row>
    <row r="892" ht="14.25" customHeight="1">
      <c r="J892" s="10"/>
    </row>
    <row r="893" ht="14.25" customHeight="1">
      <c r="J893" s="10"/>
    </row>
    <row r="894" ht="14.25" customHeight="1">
      <c r="J894" s="10"/>
    </row>
    <row r="895" ht="14.25" customHeight="1">
      <c r="J895" s="10"/>
    </row>
    <row r="896" ht="14.25" customHeight="1">
      <c r="J896" s="10"/>
    </row>
    <row r="897" ht="14.25" customHeight="1">
      <c r="J897" s="10"/>
    </row>
    <row r="898" ht="14.25" customHeight="1">
      <c r="J898" s="10"/>
    </row>
    <row r="899" ht="14.25" customHeight="1">
      <c r="J899" s="10"/>
    </row>
    <row r="900" ht="14.25" customHeight="1">
      <c r="J900" s="10"/>
    </row>
    <row r="901" ht="14.25" customHeight="1">
      <c r="J901" s="10"/>
    </row>
    <row r="902" ht="14.25" customHeight="1">
      <c r="J902" s="10"/>
    </row>
    <row r="903" ht="14.25" customHeight="1">
      <c r="J903" s="10"/>
    </row>
    <row r="904" ht="14.25" customHeight="1">
      <c r="J904" s="10"/>
    </row>
    <row r="905" ht="14.25" customHeight="1">
      <c r="J905" s="10"/>
    </row>
    <row r="906" ht="14.25" customHeight="1">
      <c r="J906" s="10"/>
    </row>
    <row r="907" ht="14.25" customHeight="1">
      <c r="J907" s="10"/>
    </row>
    <row r="908" ht="14.25" customHeight="1">
      <c r="J908" s="10"/>
    </row>
    <row r="909" ht="14.25" customHeight="1">
      <c r="J909" s="10"/>
    </row>
    <row r="910" ht="14.25" customHeight="1">
      <c r="J910" s="10"/>
    </row>
    <row r="911" ht="14.25" customHeight="1">
      <c r="J911" s="10"/>
    </row>
    <row r="912" ht="14.25" customHeight="1">
      <c r="J912" s="10"/>
    </row>
    <row r="913" ht="14.25" customHeight="1">
      <c r="J913" s="10"/>
    </row>
    <row r="914" ht="14.25" customHeight="1">
      <c r="J914" s="10"/>
    </row>
    <row r="915" ht="14.25" customHeight="1">
      <c r="J915" s="10"/>
    </row>
    <row r="916" ht="14.25" customHeight="1">
      <c r="J916" s="10"/>
    </row>
    <row r="917" ht="14.25" customHeight="1">
      <c r="J917" s="10"/>
    </row>
    <row r="918" ht="14.25" customHeight="1">
      <c r="J918" s="10"/>
    </row>
    <row r="919" ht="14.25" customHeight="1">
      <c r="J919" s="10"/>
    </row>
    <row r="920" ht="14.25" customHeight="1">
      <c r="J920" s="10"/>
    </row>
    <row r="921" ht="14.25" customHeight="1">
      <c r="J921" s="10"/>
    </row>
    <row r="922" ht="14.25" customHeight="1">
      <c r="J922" s="10"/>
    </row>
    <row r="923" ht="14.25" customHeight="1">
      <c r="J923" s="10"/>
    </row>
    <row r="924" ht="14.25" customHeight="1">
      <c r="J924" s="10"/>
    </row>
    <row r="925" ht="14.25" customHeight="1">
      <c r="J925" s="10"/>
    </row>
    <row r="926" ht="14.25" customHeight="1">
      <c r="J926" s="10"/>
    </row>
    <row r="927" ht="14.25" customHeight="1">
      <c r="J927" s="10"/>
    </row>
    <row r="928" ht="14.25" customHeight="1">
      <c r="J928" s="10"/>
    </row>
    <row r="929" ht="14.25" customHeight="1">
      <c r="J929" s="10"/>
    </row>
    <row r="930" ht="14.25" customHeight="1">
      <c r="J930" s="10"/>
    </row>
    <row r="931" ht="14.25" customHeight="1">
      <c r="J931" s="10"/>
    </row>
    <row r="932" ht="14.25" customHeight="1">
      <c r="J932" s="10"/>
    </row>
    <row r="933" ht="14.25" customHeight="1">
      <c r="J933" s="10"/>
    </row>
    <row r="934" ht="14.25" customHeight="1">
      <c r="J934" s="10"/>
    </row>
    <row r="935" ht="14.25" customHeight="1">
      <c r="J935" s="10"/>
    </row>
    <row r="936" ht="14.25" customHeight="1">
      <c r="J936" s="10"/>
    </row>
    <row r="937" ht="14.25" customHeight="1">
      <c r="J937" s="10"/>
    </row>
    <row r="938" ht="14.25" customHeight="1">
      <c r="J938" s="10"/>
    </row>
    <row r="939" ht="14.25" customHeight="1">
      <c r="J939" s="10"/>
    </row>
    <row r="940" ht="14.25" customHeight="1">
      <c r="J940" s="10"/>
    </row>
    <row r="941" ht="14.25" customHeight="1">
      <c r="J941" s="10"/>
    </row>
    <row r="942" ht="14.25" customHeight="1">
      <c r="J942" s="10"/>
    </row>
    <row r="943" ht="14.25" customHeight="1">
      <c r="J943" s="10"/>
    </row>
    <row r="944" ht="14.25" customHeight="1">
      <c r="J944" s="10"/>
    </row>
    <row r="945" ht="14.25" customHeight="1">
      <c r="J945" s="10"/>
    </row>
    <row r="946" ht="14.25" customHeight="1">
      <c r="J946" s="10"/>
    </row>
    <row r="947" ht="14.25" customHeight="1">
      <c r="J947" s="10"/>
    </row>
    <row r="948" ht="14.25" customHeight="1">
      <c r="J948" s="10"/>
    </row>
    <row r="949" ht="14.25" customHeight="1">
      <c r="J949" s="10"/>
    </row>
    <row r="950" ht="14.25" customHeight="1">
      <c r="J950" s="10"/>
    </row>
    <row r="951" ht="14.25" customHeight="1">
      <c r="J951" s="10"/>
    </row>
    <row r="952" ht="14.25" customHeight="1">
      <c r="J952" s="10"/>
    </row>
    <row r="953" ht="14.25" customHeight="1">
      <c r="J953" s="10"/>
    </row>
    <row r="954" ht="14.25" customHeight="1">
      <c r="J954" s="10"/>
    </row>
    <row r="955" ht="14.25" customHeight="1">
      <c r="J955" s="10"/>
    </row>
    <row r="956" ht="14.25" customHeight="1">
      <c r="J956" s="10"/>
    </row>
    <row r="957" ht="14.25" customHeight="1">
      <c r="J957" s="10"/>
    </row>
    <row r="958" ht="14.25" customHeight="1">
      <c r="J958" s="10"/>
    </row>
    <row r="959" ht="14.25" customHeight="1">
      <c r="J959" s="10"/>
    </row>
    <row r="960" ht="14.25" customHeight="1">
      <c r="J960" s="10"/>
    </row>
    <row r="961" ht="14.25" customHeight="1">
      <c r="J961" s="10"/>
    </row>
    <row r="962" ht="14.25" customHeight="1">
      <c r="J962" s="10"/>
    </row>
    <row r="963" ht="14.25" customHeight="1">
      <c r="J963" s="10"/>
    </row>
    <row r="964" ht="14.25" customHeight="1">
      <c r="J964" s="10"/>
    </row>
    <row r="965" ht="14.25" customHeight="1">
      <c r="J965" s="10"/>
    </row>
    <row r="966" ht="14.25" customHeight="1">
      <c r="J966" s="10"/>
    </row>
    <row r="967" ht="14.25" customHeight="1">
      <c r="J967" s="10"/>
    </row>
    <row r="968" ht="14.25" customHeight="1">
      <c r="J968" s="10"/>
    </row>
    <row r="969" ht="14.25" customHeight="1">
      <c r="J969" s="10"/>
    </row>
    <row r="970" ht="14.25" customHeight="1">
      <c r="J970" s="10"/>
    </row>
    <row r="971" ht="14.25" customHeight="1">
      <c r="J971" s="10"/>
    </row>
    <row r="972" ht="14.25" customHeight="1">
      <c r="J972" s="10"/>
    </row>
    <row r="973" ht="14.25" customHeight="1">
      <c r="J973" s="10"/>
    </row>
    <row r="974" ht="14.25" customHeight="1">
      <c r="J974" s="10"/>
    </row>
    <row r="975" ht="14.25" customHeight="1">
      <c r="J975" s="10"/>
    </row>
    <row r="976" ht="14.25" customHeight="1">
      <c r="J976" s="10"/>
    </row>
    <row r="977" ht="14.25" customHeight="1">
      <c r="J977" s="10"/>
    </row>
    <row r="978" ht="14.25" customHeight="1">
      <c r="J978" s="10"/>
    </row>
    <row r="979" ht="14.25" customHeight="1">
      <c r="J979" s="10"/>
    </row>
    <row r="980" ht="14.25" customHeight="1">
      <c r="J980" s="10"/>
    </row>
    <row r="981" ht="14.25" customHeight="1">
      <c r="J981" s="10"/>
    </row>
    <row r="982" ht="14.25" customHeight="1">
      <c r="J982" s="10"/>
    </row>
    <row r="983" ht="14.25" customHeight="1">
      <c r="J983" s="10"/>
    </row>
    <row r="984" ht="14.25" customHeight="1">
      <c r="J984" s="10"/>
    </row>
    <row r="985" ht="14.25" customHeight="1">
      <c r="J985" s="10"/>
    </row>
    <row r="986" ht="14.25" customHeight="1">
      <c r="J986" s="10"/>
    </row>
    <row r="987" ht="14.25" customHeight="1">
      <c r="J987" s="10"/>
    </row>
    <row r="988" ht="14.25" customHeight="1">
      <c r="J988" s="10"/>
    </row>
    <row r="989" ht="14.25" customHeight="1">
      <c r="J989" s="10"/>
    </row>
    <row r="990" ht="14.25" customHeight="1">
      <c r="J990" s="10"/>
    </row>
    <row r="991" ht="14.25" customHeight="1">
      <c r="J991" s="10"/>
    </row>
    <row r="992" ht="14.25" customHeight="1">
      <c r="J992" s="10"/>
    </row>
    <row r="993" ht="14.25" customHeight="1">
      <c r="J993" s="10"/>
    </row>
    <row r="994" ht="14.25" customHeight="1">
      <c r="J994" s="10"/>
    </row>
    <row r="995" ht="14.25" customHeight="1">
      <c r="J995" s="10"/>
    </row>
    <row r="996" ht="14.25" customHeight="1">
      <c r="J996" s="10"/>
    </row>
    <row r="997" ht="14.25" customHeight="1">
      <c r="J997" s="10"/>
    </row>
    <row r="998" ht="14.25" customHeight="1">
      <c r="J998" s="10"/>
    </row>
    <row r="999" ht="14.25" customHeight="1">
      <c r="J999" s="10"/>
    </row>
    <row r="1000" ht="14.25" customHeight="1">
      <c r="J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2.71"/>
    <col customWidth="1" min="4" max="4" width="22.14"/>
    <col customWidth="1" min="5" max="5" width="25.43"/>
    <col customWidth="1" min="6" max="26" width="8.71"/>
  </cols>
  <sheetData>
    <row r="1" ht="14.25" customHeight="1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ht="14.25" customHeight="1">
      <c r="A2" s="15">
        <v>43949.0</v>
      </c>
      <c r="B2" s="8" t="s">
        <v>17</v>
      </c>
      <c r="C2" s="8">
        <v>36.0</v>
      </c>
      <c r="D2" s="8">
        <v>4923.0</v>
      </c>
      <c r="E2" s="8">
        <v>4560.0</v>
      </c>
    </row>
    <row r="3" ht="14.25" customHeight="1">
      <c r="A3" s="15">
        <v>43949.0</v>
      </c>
      <c r="B3" s="8" t="s">
        <v>12</v>
      </c>
      <c r="C3" s="8">
        <v>31.0</v>
      </c>
      <c r="D3" s="8">
        <v>5465.0</v>
      </c>
      <c r="E3" s="8">
        <v>5096.0</v>
      </c>
    </row>
    <row r="4" ht="14.25" customHeight="1">
      <c r="A4" s="15">
        <v>43949.0</v>
      </c>
      <c r="B4" s="8" t="s">
        <v>18</v>
      </c>
      <c r="C4" s="8">
        <v>19.0</v>
      </c>
      <c r="D4" s="8">
        <v>1846.0</v>
      </c>
      <c r="E4" s="8">
        <v>1681.0</v>
      </c>
    </row>
    <row r="5" ht="14.25" customHeight="1">
      <c r="A5" s="15">
        <v>43949.0</v>
      </c>
      <c r="B5" s="8" t="s">
        <v>11</v>
      </c>
      <c r="C5" s="8">
        <v>18.0</v>
      </c>
      <c r="D5" s="8">
        <v>1539.0</v>
      </c>
      <c r="E5" s="8">
        <v>1404.0</v>
      </c>
    </row>
    <row r="6" ht="14.25" customHeight="1">
      <c r="A6" s="15">
        <v>43949.0</v>
      </c>
      <c r="B6" s="8" t="s">
        <v>21</v>
      </c>
      <c r="C6" s="8">
        <v>18.0</v>
      </c>
      <c r="D6" s="8">
        <v>1505.0</v>
      </c>
      <c r="E6" s="8">
        <v>1368.0</v>
      </c>
    </row>
    <row r="7" ht="14.25" customHeight="1">
      <c r="A7" s="15">
        <v>43949.0</v>
      </c>
      <c r="B7" s="8" t="s">
        <v>23</v>
      </c>
      <c r="C7" s="8">
        <v>54.0</v>
      </c>
      <c r="D7" s="8">
        <v>12306.0</v>
      </c>
      <c r="E7" s="8">
        <v>11532.0</v>
      </c>
    </row>
    <row r="8" ht="14.25" customHeight="1">
      <c r="A8" s="15">
        <v>43949.0</v>
      </c>
      <c r="B8" s="8" t="s">
        <v>22</v>
      </c>
      <c r="C8" s="8">
        <v>59.0</v>
      </c>
      <c r="D8" s="8">
        <v>12943.0</v>
      </c>
      <c r="E8" s="8">
        <v>12072.0</v>
      </c>
    </row>
    <row r="9" ht="14.25" customHeight="1">
      <c r="A9" s="15">
        <v>43949.0</v>
      </c>
      <c r="B9" s="8" t="s">
        <v>14</v>
      </c>
      <c r="C9" s="8">
        <v>17.0</v>
      </c>
      <c r="D9" s="8">
        <v>1439.0</v>
      </c>
      <c r="E9" s="8">
        <v>1265.0</v>
      </c>
    </row>
    <row r="10" ht="14.25" customHeight="1">
      <c r="A10" s="15">
        <v>43949.0</v>
      </c>
      <c r="B10" s="8" t="s">
        <v>24</v>
      </c>
      <c r="C10" s="8">
        <v>15.0</v>
      </c>
      <c r="D10" s="8">
        <v>636.0</v>
      </c>
      <c r="E10" s="8">
        <v>547.0</v>
      </c>
    </row>
    <row r="11" ht="14.25" customHeight="1">
      <c r="A11" s="15">
        <v>43949.0</v>
      </c>
      <c r="B11" s="8" t="s">
        <v>19</v>
      </c>
      <c r="C11" s="8">
        <v>15.0</v>
      </c>
      <c r="D11" s="8">
        <v>780.0</v>
      </c>
      <c r="E11" s="8">
        <v>690.0</v>
      </c>
    </row>
    <row r="12" ht="14.25" customHeight="1">
      <c r="A12" s="15">
        <v>43949.0</v>
      </c>
      <c r="B12" s="8" t="s">
        <v>16</v>
      </c>
      <c r="C12" s="8">
        <v>125.0</v>
      </c>
      <c r="D12" s="8">
        <v>20914.0</v>
      </c>
      <c r="E12" s="8">
        <v>19479.0</v>
      </c>
    </row>
    <row r="13" ht="14.25" customHeight="1">
      <c r="A13" s="15">
        <v>43949.0</v>
      </c>
      <c r="B13" s="8" t="s">
        <v>15</v>
      </c>
      <c r="C13" s="8">
        <v>128.0</v>
      </c>
      <c r="D13" s="8">
        <v>16450.0</v>
      </c>
      <c r="E13" s="8">
        <v>15320.0</v>
      </c>
    </row>
    <row r="14" ht="14.25" customHeight="1">
      <c r="A14" s="15">
        <v>43949.0</v>
      </c>
      <c r="B14" s="8" t="s">
        <v>13</v>
      </c>
      <c r="C14" s="8">
        <v>10.0</v>
      </c>
      <c r="D14" s="8">
        <v>580.0</v>
      </c>
      <c r="E14" s="8">
        <v>506.0</v>
      </c>
    </row>
    <row r="15" ht="14.25" customHeight="1">
      <c r="A15" s="15">
        <v>43950.0</v>
      </c>
      <c r="B15" s="8" t="s">
        <v>17</v>
      </c>
      <c r="C15" s="8">
        <v>36.0</v>
      </c>
      <c r="D15" s="8">
        <v>4937.0</v>
      </c>
      <c r="E15" s="8">
        <v>4561.0</v>
      </c>
    </row>
    <row r="16" ht="14.25" customHeight="1">
      <c r="A16" s="15">
        <v>43950.0</v>
      </c>
      <c r="B16" s="8" t="s">
        <v>12</v>
      </c>
      <c r="C16" s="8">
        <v>31.0</v>
      </c>
      <c r="D16" s="8">
        <v>5378.0</v>
      </c>
      <c r="E16" s="8">
        <v>4985.0</v>
      </c>
    </row>
    <row r="17" ht="14.25" customHeight="1">
      <c r="A17" s="15">
        <v>43950.0</v>
      </c>
      <c r="B17" s="8" t="s">
        <v>18</v>
      </c>
      <c r="C17" s="8">
        <v>19.0</v>
      </c>
      <c r="D17" s="8">
        <v>1676.0</v>
      </c>
      <c r="E17" s="8">
        <v>1516.0</v>
      </c>
    </row>
    <row r="18" ht="14.25" customHeight="1">
      <c r="A18" s="15">
        <v>43950.0</v>
      </c>
      <c r="B18" s="8" t="s">
        <v>11</v>
      </c>
      <c r="C18" s="8">
        <v>18.0</v>
      </c>
      <c r="D18" s="8">
        <v>1684.0</v>
      </c>
      <c r="E18" s="8">
        <v>1528.0</v>
      </c>
    </row>
    <row r="19" ht="14.25" customHeight="1">
      <c r="A19" s="15">
        <v>43950.0</v>
      </c>
      <c r="B19" s="8" t="s">
        <v>21</v>
      </c>
      <c r="C19" s="8">
        <v>18.0</v>
      </c>
      <c r="D19" s="8">
        <v>1599.0</v>
      </c>
      <c r="E19" s="8">
        <v>1450.0</v>
      </c>
    </row>
    <row r="20" ht="14.25" customHeight="1">
      <c r="A20" s="15">
        <v>43950.0</v>
      </c>
      <c r="B20" s="8" t="s">
        <v>23</v>
      </c>
      <c r="C20" s="8">
        <v>54.0</v>
      </c>
      <c r="D20" s="8">
        <v>12747.0</v>
      </c>
      <c r="E20" s="8">
        <v>11884.0</v>
      </c>
    </row>
    <row r="21" ht="14.25" customHeight="1">
      <c r="A21" s="15">
        <v>43950.0</v>
      </c>
      <c r="B21" s="8" t="s">
        <v>22</v>
      </c>
      <c r="C21" s="8">
        <v>59.0</v>
      </c>
      <c r="D21" s="8">
        <v>13186.0</v>
      </c>
      <c r="E21" s="8">
        <v>12251.0</v>
      </c>
    </row>
    <row r="22" ht="14.25" customHeight="1">
      <c r="A22" s="15">
        <v>43950.0</v>
      </c>
      <c r="B22" s="8" t="s">
        <v>14</v>
      </c>
      <c r="C22" s="8">
        <v>18.0</v>
      </c>
      <c r="D22" s="8">
        <v>1534.0</v>
      </c>
      <c r="E22" s="8">
        <v>1369.0</v>
      </c>
    </row>
    <row r="23" ht="14.25" customHeight="1">
      <c r="A23" s="15">
        <v>43950.0</v>
      </c>
      <c r="B23" s="8" t="s">
        <v>24</v>
      </c>
      <c r="C23" s="8">
        <v>15.0</v>
      </c>
      <c r="D23" s="8">
        <v>659.0</v>
      </c>
      <c r="E23" s="8">
        <v>575.0</v>
      </c>
    </row>
    <row r="24" ht="14.25" customHeight="1">
      <c r="A24" s="15">
        <v>43950.0</v>
      </c>
      <c r="B24" s="8" t="s">
        <v>19</v>
      </c>
      <c r="C24" s="8">
        <v>15.0</v>
      </c>
      <c r="D24" s="8">
        <v>786.0</v>
      </c>
      <c r="E24" s="8">
        <v>695.0</v>
      </c>
    </row>
    <row r="25" ht="14.25" customHeight="1">
      <c r="A25" s="15">
        <v>43950.0</v>
      </c>
      <c r="B25" s="8" t="s">
        <v>16</v>
      </c>
      <c r="C25" s="8">
        <v>125.0</v>
      </c>
      <c r="D25" s="8">
        <v>21863.0</v>
      </c>
      <c r="E25" s="8">
        <v>20160.0</v>
      </c>
    </row>
    <row r="26" ht="14.25" customHeight="1">
      <c r="A26" s="15">
        <v>43950.0</v>
      </c>
      <c r="B26" s="8" t="s">
        <v>15</v>
      </c>
      <c r="C26" s="8">
        <v>128.0</v>
      </c>
      <c r="D26" s="8">
        <v>17368.0</v>
      </c>
      <c r="E26" s="8">
        <v>16077.0</v>
      </c>
    </row>
    <row r="27" ht="14.25" customHeight="1">
      <c r="A27" s="15">
        <v>43950.0</v>
      </c>
      <c r="B27" s="8" t="s">
        <v>13</v>
      </c>
      <c r="C27" s="8">
        <v>10.0</v>
      </c>
      <c r="D27" s="8">
        <v>502.0</v>
      </c>
      <c r="E27" s="8">
        <v>433.0</v>
      </c>
    </row>
    <row r="28" ht="14.25" customHeight="1">
      <c r="A28" s="15">
        <v>43951.0</v>
      </c>
      <c r="B28" s="8" t="s">
        <v>17</v>
      </c>
      <c r="C28" s="8">
        <v>36.0</v>
      </c>
      <c r="D28" s="8">
        <v>5143.0</v>
      </c>
      <c r="E28" s="8">
        <v>4715.0</v>
      </c>
    </row>
    <row r="29" ht="14.25" customHeight="1">
      <c r="A29" s="15">
        <v>43951.0</v>
      </c>
      <c r="B29" s="8" t="s">
        <v>12</v>
      </c>
      <c r="C29" s="8">
        <v>31.0</v>
      </c>
      <c r="D29" s="8">
        <v>5120.0</v>
      </c>
      <c r="E29" s="8">
        <v>4737.0</v>
      </c>
    </row>
    <row r="30" ht="14.25" customHeight="1">
      <c r="A30" s="15">
        <v>43951.0</v>
      </c>
      <c r="B30" s="8" t="s">
        <v>18</v>
      </c>
      <c r="C30" s="8">
        <v>20.0</v>
      </c>
      <c r="D30" s="8">
        <v>1756.0</v>
      </c>
      <c r="E30" s="8">
        <v>1586.0</v>
      </c>
    </row>
    <row r="31" ht="14.25" customHeight="1">
      <c r="A31" s="15">
        <v>43951.0</v>
      </c>
      <c r="B31" s="8" t="s">
        <v>11</v>
      </c>
      <c r="C31" s="8">
        <v>19.0</v>
      </c>
      <c r="D31" s="8">
        <v>1712.0</v>
      </c>
      <c r="E31" s="8">
        <v>1552.0</v>
      </c>
    </row>
    <row r="32" ht="14.25" customHeight="1">
      <c r="A32" s="15">
        <v>43951.0</v>
      </c>
      <c r="B32" s="8" t="s">
        <v>21</v>
      </c>
      <c r="C32" s="8">
        <v>19.0</v>
      </c>
      <c r="D32" s="8">
        <v>1662.0</v>
      </c>
      <c r="E32" s="8">
        <v>1506.0</v>
      </c>
    </row>
    <row r="33" ht="14.25" customHeight="1">
      <c r="A33" s="15">
        <v>43951.0</v>
      </c>
      <c r="B33" s="8" t="s">
        <v>23</v>
      </c>
      <c r="C33" s="8">
        <v>54.0</v>
      </c>
      <c r="D33" s="8">
        <v>12817.0</v>
      </c>
      <c r="E33" s="8">
        <v>11865.0</v>
      </c>
    </row>
    <row r="34" ht="14.25" customHeight="1">
      <c r="A34" s="15">
        <v>43951.0</v>
      </c>
      <c r="B34" s="8" t="s">
        <v>22</v>
      </c>
      <c r="C34" s="8">
        <v>59.0</v>
      </c>
      <c r="D34" s="8">
        <v>13251.0</v>
      </c>
      <c r="E34" s="8">
        <v>12255.0</v>
      </c>
    </row>
    <row r="35" ht="14.25" customHeight="1">
      <c r="A35" s="15">
        <v>43951.0</v>
      </c>
      <c r="B35" s="8" t="s">
        <v>14</v>
      </c>
      <c r="C35" s="8">
        <v>19.0</v>
      </c>
      <c r="D35" s="8">
        <v>1499.0</v>
      </c>
      <c r="E35" s="8">
        <v>1322.0</v>
      </c>
    </row>
    <row r="36" ht="14.25" customHeight="1">
      <c r="A36" s="15">
        <v>43951.0</v>
      </c>
      <c r="B36" s="8" t="s">
        <v>24</v>
      </c>
      <c r="C36" s="8">
        <v>15.0</v>
      </c>
      <c r="D36" s="8">
        <v>644.0</v>
      </c>
      <c r="E36" s="8">
        <v>550.0</v>
      </c>
    </row>
    <row r="37" ht="14.25" customHeight="1">
      <c r="A37" s="15">
        <v>43951.0</v>
      </c>
      <c r="B37" s="8" t="s">
        <v>19</v>
      </c>
      <c r="C37" s="8">
        <v>15.0</v>
      </c>
      <c r="D37" s="8">
        <v>791.0</v>
      </c>
      <c r="E37" s="8">
        <v>691.0</v>
      </c>
    </row>
    <row r="38" ht="14.25" customHeight="1">
      <c r="A38" s="15">
        <v>43951.0</v>
      </c>
      <c r="B38" s="8" t="s">
        <v>20</v>
      </c>
      <c r="C38" s="8">
        <v>15.0</v>
      </c>
      <c r="D38" s="8">
        <v>262.0</v>
      </c>
      <c r="E38" s="8">
        <v>195.0</v>
      </c>
    </row>
    <row r="39" ht="14.25" customHeight="1">
      <c r="A39" s="15">
        <v>43951.0</v>
      </c>
      <c r="B39" s="8" t="s">
        <v>16</v>
      </c>
      <c r="C39" s="8">
        <v>125.0</v>
      </c>
      <c r="D39" s="8">
        <v>22368.0</v>
      </c>
      <c r="E39" s="8">
        <v>20625.0</v>
      </c>
    </row>
    <row r="40" ht="14.25" customHeight="1">
      <c r="A40" s="15">
        <v>43951.0</v>
      </c>
      <c r="B40" s="8" t="s">
        <v>15</v>
      </c>
      <c r="C40" s="8">
        <v>129.0</v>
      </c>
      <c r="D40" s="8">
        <v>18042.0</v>
      </c>
      <c r="E40" s="8">
        <v>16631.0</v>
      </c>
    </row>
    <row r="41" ht="14.25" customHeight="1">
      <c r="A41" s="15">
        <v>43951.0</v>
      </c>
      <c r="B41" s="8" t="s">
        <v>13</v>
      </c>
      <c r="C41" s="8">
        <v>10.0</v>
      </c>
      <c r="D41" s="8">
        <v>448.0</v>
      </c>
      <c r="E41" s="8">
        <v>376.0</v>
      </c>
    </row>
    <row r="42" ht="14.25" customHeight="1">
      <c r="A42" s="15">
        <v>43952.0</v>
      </c>
      <c r="B42" s="8" t="s">
        <v>17</v>
      </c>
      <c r="C42" s="8">
        <v>36.0</v>
      </c>
      <c r="D42" s="8">
        <v>5457.0</v>
      </c>
      <c r="E42" s="8">
        <v>4916.0</v>
      </c>
    </row>
    <row r="43" ht="14.25" customHeight="1">
      <c r="A43" s="15">
        <v>43952.0</v>
      </c>
      <c r="B43" s="8" t="s">
        <v>12</v>
      </c>
      <c r="C43" s="8">
        <v>31.0</v>
      </c>
      <c r="D43" s="8">
        <v>6118.0</v>
      </c>
      <c r="E43" s="8">
        <v>5564.0</v>
      </c>
    </row>
    <row r="44" ht="14.25" customHeight="1">
      <c r="A44" s="15">
        <v>43952.0</v>
      </c>
      <c r="B44" s="8" t="s">
        <v>18</v>
      </c>
      <c r="C44" s="8">
        <v>20.0</v>
      </c>
      <c r="D44" s="8">
        <v>2468.0</v>
      </c>
      <c r="E44" s="8">
        <v>2221.0</v>
      </c>
    </row>
    <row r="45" ht="14.25" customHeight="1">
      <c r="A45" s="15">
        <v>43952.0</v>
      </c>
      <c r="B45" s="8" t="s">
        <v>11</v>
      </c>
      <c r="C45" s="8">
        <v>18.0</v>
      </c>
      <c r="D45" s="8">
        <v>1826.0</v>
      </c>
      <c r="E45" s="8">
        <v>1633.0</v>
      </c>
    </row>
    <row r="46" ht="14.25" customHeight="1">
      <c r="A46" s="15">
        <v>43952.0</v>
      </c>
      <c r="B46" s="8" t="s">
        <v>21</v>
      </c>
      <c r="C46" s="8">
        <v>19.0</v>
      </c>
      <c r="D46" s="8">
        <v>1987.0</v>
      </c>
      <c r="E46" s="8">
        <v>1791.0</v>
      </c>
    </row>
    <row r="47" ht="14.25" customHeight="1">
      <c r="A47" s="15">
        <v>43952.0</v>
      </c>
      <c r="B47" s="8" t="s">
        <v>23</v>
      </c>
      <c r="C47" s="8">
        <v>54.0</v>
      </c>
      <c r="D47" s="8">
        <v>14205.0</v>
      </c>
      <c r="E47" s="8">
        <v>13026.0</v>
      </c>
    </row>
    <row r="48" ht="14.25" customHeight="1">
      <c r="A48" s="15">
        <v>43952.0</v>
      </c>
      <c r="B48" s="8" t="s">
        <v>22</v>
      </c>
      <c r="C48" s="8">
        <v>59.0</v>
      </c>
      <c r="D48" s="8">
        <v>15222.0</v>
      </c>
      <c r="E48" s="8">
        <v>13873.0</v>
      </c>
    </row>
    <row r="49" ht="14.25" customHeight="1">
      <c r="A49" s="15">
        <v>43952.0</v>
      </c>
      <c r="B49" s="8" t="s">
        <v>14</v>
      </c>
      <c r="C49" s="8">
        <v>19.0</v>
      </c>
      <c r="D49" s="8">
        <v>1497.0</v>
      </c>
      <c r="E49" s="8">
        <v>1291.0</v>
      </c>
    </row>
    <row r="50" ht="14.25" customHeight="1">
      <c r="A50" s="15">
        <v>43952.0</v>
      </c>
      <c r="B50" s="8" t="s">
        <v>24</v>
      </c>
      <c r="C50" s="8">
        <v>15.0</v>
      </c>
      <c r="D50" s="8">
        <v>721.0</v>
      </c>
      <c r="E50" s="8">
        <v>625.0</v>
      </c>
    </row>
    <row r="51" ht="14.25" customHeight="1">
      <c r="A51" s="15">
        <v>43952.0</v>
      </c>
      <c r="B51" s="8" t="s">
        <v>19</v>
      </c>
      <c r="C51" s="8">
        <v>15.0</v>
      </c>
      <c r="D51" s="8">
        <v>996.0</v>
      </c>
      <c r="E51" s="8">
        <v>888.0</v>
      </c>
    </row>
    <row r="52" ht="14.25" customHeight="1">
      <c r="A52" s="15">
        <v>43952.0</v>
      </c>
      <c r="B52" s="8" t="s">
        <v>20</v>
      </c>
      <c r="C52" s="8">
        <v>15.0</v>
      </c>
      <c r="D52" s="8">
        <v>294.0</v>
      </c>
      <c r="E52" s="8">
        <v>225.0</v>
      </c>
    </row>
    <row r="53" ht="14.25" customHeight="1">
      <c r="A53" s="15">
        <v>43952.0</v>
      </c>
      <c r="B53" s="8" t="s">
        <v>16</v>
      </c>
      <c r="C53" s="8">
        <v>125.0</v>
      </c>
      <c r="D53" s="8">
        <v>20602.0</v>
      </c>
      <c r="E53" s="8">
        <v>18845.0</v>
      </c>
    </row>
    <row r="54" ht="14.25" customHeight="1">
      <c r="A54" s="15">
        <v>43952.0</v>
      </c>
      <c r="B54" s="8" t="s">
        <v>15</v>
      </c>
      <c r="C54" s="8">
        <v>129.0</v>
      </c>
      <c r="D54" s="8">
        <v>17002.0</v>
      </c>
      <c r="E54" s="8">
        <v>15570.0</v>
      </c>
    </row>
    <row r="55" ht="14.25" customHeight="1">
      <c r="A55" s="15">
        <v>43952.0</v>
      </c>
      <c r="B55" s="8" t="s">
        <v>13</v>
      </c>
      <c r="C55" s="8">
        <v>10.0</v>
      </c>
      <c r="D55" s="8">
        <v>554.0</v>
      </c>
      <c r="E55" s="8">
        <v>472.0</v>
      </c>
    </row>
    <row r="56" ht="14.25" customHeight="1">
      <c r="A56" s="15">
        <v>43953.0</v>
      </c>
      <c r="B56" s="8" t="s">
        <v>17</v>
      </c>
      <c r="C56" s="8">
        <v>36.0</v>
      </c>
      <c r="D56" s="8">
        <v>3442.0</v>
      </c>
      <c r="E56" s="8">
        <v>3147.0</v>
      </c>
    </row>
    <row r="57" ht="14.25" customHeight="1">
      <c r="A57" s="15">
        <v>43953.0</v>
      </c>
      <c r="B57" s="8" t="s">
        <v>12</v>
      </c>
      <c r="C57" s="8">
        <v>31.0</v>
      </c>
      <c r="D57" s="8">
        <v>4157.0</v>
      </c>
      <c r="E57" s="8">
        <v>3823.0</v>
      </c>
    </row>
    <row r="58" ht="14.25" customHeight="1">
      <c r="A58" s="15">
        <v>43953.0</v>
      </c>
      <c r="B58" s="8" t="s">
        <v>18</v>
      </c>
      <c r="C58" s="8">
        <v>20.0</v>
      </c>
      <c r="D58" s="8">
        <v>1613.0</v>
      </c>
      <c r="E58" s="8">
        <v>1457.0</v>
      </c>
    </row>
    <row r="59" ht="14.25" customHeight="1">
      <c r="A59" s="15">
        <v>43953.0</v>
      </c>
      <c r="B59" s="8" t="s">
        <v>11</v>
      </c>
      <c r="C59" s="8">
        <v>18.0</v>
      </c>
      <c r="D59" s="8">
        <v>1708.0</v>
      </c>
      <c r="E59" s="8">
        <v>1534.0</v>
      </c>
    </row>
    <row r="60" ht="14.25" customHeight="1">
      <c r="A60" s="15">
        <v>43953.0</v>
      </c>
      <c r="B60" s="8" t="s">
        <v>21</v>
      </c>
      <c r="C60" s="8">
        <v>19.0</v>
      </c>
      <c r="D60" s="8">
        <v>1206.0</v>
      </c>
      <c r="E60" s="8">
        <v>1080.0</v>
      </c>
    </row>
    <row r="61" ht="14.25" customHeight="1">
      <c r="A61" s="15">
        <v>43953.0</v>
      </c>
      <c r="B61" s="8" t="s">
        <v>23</v>
      </c>
      <c r="C61" s="8">
        <v>54.0</v>
      </c>
      <c r="D61" s="8">
        <v>11622.0</v>
      </c>
      <c r="E61" s="8">
        <v>10754.0</v>
      </c>
    </row>
    <row r="62" ht="14.25" customHeight="1">
      <c r="A62" s="15">
        <v>43953.0</v>
      </c>
      <c r="B62" s="8" t="s">
        <v>22</v>
      </c>
      <c r="C62" s="8">
        <v>59.0</v>
      </c>
      <c r="D62" s="8">
        <v>12429.0</v>
      </c>
      <c r="E62" s="8">
        <v>11477.0</v>
      </c>
    </row>
    <row r="63" ht="14.25" customHeight="1">
      <c r="A63" s="15">
        <v>43953.0</v>
      </c>
      <c r="B63" s="8" t="s">
        <v>14</v>
      </c>
      <c r="C63" s="8">
        <v>19.0</v>
      </c>
      <c r="D63" s="8">
        <v>1217.0</v>
      </c>
      <c r="E63" s="8">
        <v>1048.0</v>
      </c>
    </row>
    <row r="64" ht="14.25" customHeight="1">
      <c r="A64" s="15">
        <v>43953.0</v>
      </c>
      <c r="B64" s="8" t="s">
        <v>24</v>
      </c>
      <c r="C64" s="8">
        <v>15.0</v>
      </c>
      <c r="D64" s="8">
        <v>567.0</v>
      </c>
      <c r="E64" s="8">
        <v>493.0</v>
      </c>
    </row>
    <row r="65" ht="14.25" customHeight="1">
      <c r="A65" s="15">
        <v>43953.0</v>
      </c>
      <c r="B65" s="8" t="s">
        <v>19</v>
      </c>
      <c r="C65" s="8">
        <v>15.0</v>
      </c>
      <c r="D65" s="8">
        <v>751.0</v>
      </c>
      <c r="E65" s="8">
        <v>651.0</v>
      </c>
    </row>
    <row r="66" ht="14.25" customHeight="1">
      <c r="A66" s="15">
        <v>43953.0</v>
      </c>
      <c r="B66" s="8" t="s">
        <v>20</v>
      </c>
      <c r="C66" s="8">
        <v>15.0</v>
      </c>
      <c r="D66" s="8">
        <v>274.0</v>
      </c>
      <c r="E66" s="8">
        <v>203.0</v>
      </c>
    </row>
    <row r="67" ht="14.25" customHeight="1">
      <c r="A67" s="15">
        <v>43953.0</v>
      </c>
      <c r="B67" s="8" t="s">
        <v>16</v>
      </c>
      <c r="C67" s="8">
        <v>125.0</v>
      </c>
      <c r="D67" s="8">
        <v>16932.0</v>
      </c>
      <c r="E67" s="8">
        <v>15601.0</v>
      </c>
    </row>
    <row r="68" ht="14.25" customHeight="1">
      <c r="A68" s="15">
        <v>43953.0</v>
      </c>
      <c r="B68" s="8" t="s">
        <v>15</v>
      </c>
      <c r="C68" s="8">
        <v>129.0</v>
      </c>
      <c r="D68" s="8">
        <v>14009.0</v>
      </c>
      <c r="E68" s="8">
        <v>12920.0</v>
      </c>
    </row>
    <row r="69" ht="14.25" customHeight="1">
      <c r="A69" s="15">
        <v>43953.0</v>
      </c>
      <c r="B69" s="8" t="s">
        <v>13</v>
      </c>
      <c r="C69" s="8">
        <v>10.0</v>
      </c>
      <c r="D69" s="8">
        <v>416.0</v>
      </c>
      <c r="E69" s="8">
        <v>341.0</v>
      </c>
    </row>
    <row r="70" ht="14.25" customHeight="1">
      <c r="A70" s="15">
        <v>43954.0</v>
      </c>
      <c r="B70" s="8" t="s">
        <v>17</v>
      </c>
      <c r="C70" s="8">
        <v>36.0</v>
      </c>
      <c r="D70" s="8">
        <v>4751.0</v>
      </c>
      <c r="E70" s="8">
        <v>4370.0</v>
      </c>
    </row>
    <row r="71" ht="14.25" customHeight="1">
      <c r="A71" s="15">
        <v>43954.0</v>
      </c>
      <c r="B71" s="8" t="s">
        <v>12</v>
      </c>
      <c r="C71" s="8">
        <v>31.0</v>
      </c>
      <c r="D71" s="8">
        <v>5155.0</v>
      </c>
      <c r="E71" s="8">
        <v>4762.0</v>
      </c>
    </row>
    <row r="72" ht="14.25" customHeight="1">
      <c r="A72" s="15">
        <v>43954.0</v>
      </c>
      <c r="B72" s="8" t="s">
        <v>18</v>
      </c>
      <c r="C72" s="8">
        <v>20.0</v>
      </c>
      <c r="D72" s="8">
        <v>1716.0</v>
      </c>
      <c r="E72" s="8">
        <v>1561.0</v>
      </c>
    </row>
    <row r="73" ht="14.25" customHeight="1">
      <c r="A73" s="15">
        <v>43954.0</v>
      </c>
      <c r="B73" s="8" t="s">
        <v>11</v>
      </c>
      <c r="C73" s="8">
        <v>20.0</v>
      </c>
      <c r="D73" s="8">
        <v>1520.0</v>
      </c>
      <c r="E73" s="8">
        <v>1373.0</v>
      </c>
    </row>
    <row r="74" ht="14.25" customHeight="1">
      <c r="A74" s="15">
        <v>43954.0</v>
      </c>
      <c r="B74" s="8" t="s">
        <v>21</v>
      </c>
      <c r="C74" s="8">
        <v>19.0</v>
      </c>
      <c r="D74" s="8">
        <v>1314.0</v>
      </c>
      <c r="E74" s="8">
        <v>1192.0</v>
      </c>
    </row>
    <row r="75" ht="14.25" customHeight="1">
      <c r="A75" s="15">
        <v>43954.0</v>
      </c>
      <c r="B75" s="8" t="s">
        <v>23</v>
      </c>
      <c r="C75" s="8">
        <v>54.0</v>
      </c>
      <c r="D75" s="8">
        <v>14823.0</v>
      </c>
      <c r="E75" s="8">
        <v>13751.0</v>
      </c>
    </row>
    <row r="76" ht="14.25" customHeight="1">
      <c r="A76" s="15">
        <v>43954.0</v>
      </c>
      <c r="B76" s="8" t="s">
        <v>22</v>
      </c>
      <c r="C76" s="8">
        <v>59.0</v>
      </c>
      <c r="D76" s="8">
        <v>15277.0</v>
      </c>
      <c r="E76" s="8">
        <v>14163.0</v>
      </c>
    </row>
    <row r="77" ht="14.25" customHeight="1">
      <c r="A77" s="15">
        <v>43954.0</v>
      </c>
      <c r="B77" s="8" t="s">
        <v>14</v>
      </c>
      <c r="C77" s="8">
        <v>19.0</v>
      </c>
      <c r="D77" s="8">
        <v>1402.0</v>
      </c>
      <c r="E77" s="8">
        <v>1234.0</v>
      </c>
    </row>
    <row r="78" ht="14.25" customHeight="1">
      <c r="A78" s="15">
        <v>43954.0</v>
      </c>
      <c r="B78" s="8" t="s">
        <v>24</v>
      </c>
      <c r="C78" s="8">
        <v>15.0</v>
      </c>
      <c r="D78" s="8">
        <v>585.0</v>
      </c>
      <c r="E78" s="8">
        <v>502.0</v>
      </c>
    </row>
    <row r="79" ht="14.25" customHeight="1">
      <c r="A79" s="15">
        <v>43954.0</v>
      </c>
      <c r="B79" s="8" t="s">
        <v>19</v>
      </c>
      <c r="C79" s="8">
        <v>15.0</v>
      </c>
      <c r="D79" s="8">
        <v>784.0</v>
      </c>
      <c r="E79" s="8">
        <v>696.0</v>
      </c>
    </row>
    <row r="80" ht="14.25" customHeight="1">
      <c r="A80" s="15">
        <v>43954.0</v>
      </c>
      <c r="B80" s="8" t="s">
        <v>20</v>
      </c>
      <c r="C80" s="8">
        <v>15.0</v>
      </c>
      <c r="D80" s="8">
        <v>455.0</v>
      </c>
      <c r="E80" s="8">
        <v>384.0</v>
      </c>
    </row>
    <row r="81" ht="14.25" customHeight="1">
      <c r="A81" s="15">
        <v>43954.0</v>
      </c>
      <c r="B81" s="8" t="s">
        <v>16</v>
      </c>
      <c r="C81" s="8">
        <v>125.0</v>
      </c>
      <c r="D81" s="8">
        <v>18861.0</v>
      </c>
      <c r="E81" s="8">
        <v>17420.0</v>
      </c>
    </row>
    <row r="82" ht="14.25" customHeight="1">
      <c r="A82" s="15">
        <v>43954.0</v>
      </c>
      <c r="B82" s="8" t="s">
        <v>15</v>
      </c>
      <c r="C82" s="8">
        <v>129.0</v>
      </c>
      <c r="D82" s="8">
        <v>15778.0</v>
      </c>
      <c r="E82" s="8">
        <v>14624.0</v>
      </c>
    </row>
    <row r="83" ht="14.25" customHeight="1">
      <c r="A83" s="15">
        <v>43954.0</v>
      </c>
      <c r="B83" s="8" t="s">
        <v>13</v>
      </c>
      <c r="C83" s="8">
        <v>10.0</v>
      </c>
      <c r="D83" s="8">
        <v>402.0</v>
      </c>
      <c r="E83" s="8">
        <v>333.0</v>
      </c>
    </row>
    <row r="84" ht="14.25" customHeight="1">
      <c r="A84" s="15">
        <v>43955.0</v>
      </c>
      <c r="B84" s="8" t="s">
        <v>17</v>
      </c>
      <c r="C84" s="8">
        <v>36.0</v>
      </c>
      <c r="D84" s="8">
        <v>4508.0</v>
      </c>
      <c r="E84" s="8">
        <v>4149.0</v>
      </c>
    </row>
    <row r="85" ht="14.25" customHeight="1">
      <c r="A85" s="15">
        <v>43955.0</v>
      </c>
      <c r="B85" s="8" t="s">
        <v>12</v>
      </c>
      <c r="C85" s="8">
        <v>31.0</v>
      </c>
      <c r="D85" s="8">
        <v>4968.0</v>
      </c>
      <c r="E85" s="8">
        <v>4596.0</v>
      </c>
    </row>
    <row r="86" ht="14.25" customHeight="1">
      <c r="A86" s="15">
        <v>43955.0</v>
      </c>
      <c r="B86" s="8" t="s">
        <v>18</v>
      </c>
      <c r="C86" s="8">
        <v>20.0</v>
      </c>
      <c r="D86" s="8">
        <v>1804.0</v>
      </c>
      <c r="E86" s="8">
        <v>1638.0</v>
      </c>
    </row>
    <row r="87" ht="14.25" customHeight="1">
      <c r="A87" s="15">
        <v>43955.0</v>
      </c>
      <c r="B87" s="8" t="s">
        <v>11</v>
      </c>
      <c r="C87" s="8">
        <v>20.0</v>
      </c>
      <c r="D87" s="8">
        <v>1519.0</v>
      </c>
      <c r="E87" s="8">
        <v>1372.0</v>
      </c>
    </row>
    <row r="88" ht="14.25" customHeight="1">
      <c r="A88" s="15">
        <v>43955.0</v>
      </c>
      <c r="B88" s="8" t="s">
        <v>21</v>
      </c>
      <c r="C88" s="8">
        <v>19.0</v>
      </c>
      <c r="D88" s="8">
        <v>1479.0</v>
      </c>
      <c r="E88" s="8">
        <v>1346.0</v>
      </c>
    </row>
    <row r="89" ht="14.25" customHeight="1">
      <c r="A89" s="15">
        <v>43955.0</v>
      </c>
      <c r="B89" s="8" t="s">
        <v>23</v>
      </c>
      <c r="C89" s="8">
        <v>54.0</v>
      </c>
      <c r="D89" s="8">
        <v>13606.0</v>
      </c>
      <c r="E89" s="8">
        <v>12697.0</v>
      </c>
    </row>
    <row r="90" ht="14.25" customHeight="1">
      <c r="A90" s="15">
        <v>43955.0</v>
      </c>
      <c r="B90" s="8" t="s">
        <v>22</v>
      </c>
      <c r="C90" s="8">
        <v>59.0</v>
      </c>
      <c r="D90" s="8">
        <v>14423.0</v>
      </c>
      <c r="E90" s="8">
        <v>13432.0</v>
      </c>
    </row>
    <row r="91" ht="14.25" customHeight="1">
      <c r="A91" s="15">
        <v>43955.0</v>
      </c>
      <c r="B91" s="8" t="s">
        <v>14</v>
      </c>
      <c r="C91" s="8">
        <v>19.0</v>
      </c>
      <c r="D91" s="8">
        <v>1582.0</v>
      </c>
      <c r="E91" s="8">
        <v>1403.0</v>
      </c>
    </row>
    <row r="92" ht="14.25" customHeight="1">
      <c r="A92" s="15">
        <v>43955.0</v>
      </c>
      <c r="B92" s="8" t="s">
        <v>24</v>
      </c>
      <c r="C92" s="8">
        <v>15.0</v>
      </c>
      <c r="D92" s="8">
        <v>622.0</v>
      </c>
      <c r="E92" s="8">
        <v>538.0</v>
      </c>
    </row>
    <row r="93" ht="14.25" customHeight="1">
      <c r="A93" s="15">
        <v>43955.0</v>
      </c>
      <c r="B93" s="8" t="s">
        <v>19</v>
      </c>
      <c r="C93" s="8">
        <v>15.0</v>
      </c>
      <c r="D93" s="8">
        <v>750.0</v>
      </c>
      <c r="E93" s="8">
        <v>647.0</v>
      </c>
    </row>
    <row r="94" ht="14.25" customHeight="1">
      <c r="A94" s="15">
        <v>43955.0</v>
      </c>
      <c r="B94" s="8" t="s">
        <v>20</v>
      </c>
      <c r="C94" s="8">
        <v>15.0</v>
      </c>
      <c r="D94" s="8">
        <v>390.0</v>
      </c>
      <c r="E94" s="8">
        <v>315.0</v>
      </c>
    </row>
    <row r="95" ht="14.25" customHeight="1">
      <c r="A95" s="15">
        <v>43955.0</v>
      </c>
      <c r="B95" s="8" t="s">
        <v>16</v>
      </c>
      <c r="C95" s="8">
        <v>125.0</v>
      </c>
      <c r="D95" s="8">
        <v>20495.0</v>
      </c>
      <c r="E95" s="8">
        <v>18964.0</v>
      </c>
    </row>
    <row r="96" ht="14.25" customHeight="1">
      <c r="A96" s="15">
        <v>43955.0</v>
      </c>
      <c r="B96" s="8" t="s">
        <v>15</v>
      </c>
      <c r="C96" s="8">
        <v>129.0</v>
      </c>
      <c r="D96" s="8">
        <v>16525.0</v>
      </c>
      <c r="E96" s="8">
        <v>15310.0</v>
      </c>
    </row>
    <row r="97" ht="14.25" customHeight="1">
      <c r="A97" s="15">
        <v>43955.0</v>
      </c>
      <c r="B97" s="8" t="s">
        <v>13</v>
      </c>
      <c r="C97" s="8">
        <v>10.0</v>
      </c>
      <c r="D97" s="8">
        <v>462.0</v>
      </c>
      <c r="E97" s="8">
        <v>396.0</v>
      </c>
    </row>
    <row r="98" ht="14.25" customHeight="1">
      <c r="A98" s="15">
        <v>43956.0</v>
      </c>
      <c r="B98" s="8" t="s">
        <v>17</v>
      </c>
      <c r="C98" s="8">
        <v>36.0</v>
      </c>
      <c r="D98" s="8">
        <v>4575.0</v>
      </c>
      <c r="E98" s="8">
        <v>4206.0</v>
      </c>
    </row>
    <row r="99" ht="14.25" customHeight="1">
      <c r="A99" s="15">
        <v>43956.0</v>
      </c>
      <c r="B99" s="8" t="s">
        <v>12</v>
      </c>
      <c r="C99" s="8">
        <v>31.0</v>
      </c>
      <c r="D99" s="8">
        <v>5188.0</v>
      </c>
      <c r="E99" s="8">
        <v>4800.0</v>
      </c>
    </row>
    <row r="100" ht="14.25" customHeight="1">
      <c r="A100" s="15">
        <v>43956.0</v>
      </c>
      <c r="B100" s="8" t="s">
        <v>18</v>
      </c>
      <c r="C100" s="8">
        <v>20.0</v>
      </c>
      <c r="D100" s="8">
        <v>1757.0</v>
      </c>
      <c r="E100" s="8">
        <v>1596.0</v>
      </c>
    </row>
    <row r="101" ht="14.25" customHeight="1">
      <c r="A101" s="15">
        <v>43956.0</v>
      </c>
      <c r="B101" s="8" t="s">
        <v>11</v>
      </c>
      <c r="C101" s="8">
        <v>20.0</v>
      </c>
      <c r="D101" s="8">
        <v>1773.0</v>
      </c>
      <c r="E101" s="8">
        <v>1604.0</v>
      </c>
    </row>
    <row r="102" ht="14.25" customHeight="1">
      <c r="A102" s="15">
        <v>43956.0</v>
      </c>
      <c r="B102" s="8" t="s">
        <v>21</v>
      </c>
      <c r="C102" s="8">
        <v>19.0</v>
      </c>
      <c r="D102" s="8">
        <v>1622.0</v>
      </c>
      <c r="E102" s="8">
        <v>1482.0</v>
      </c>
    </row>
    <row r="103" ht="14.25" customHeight="1">
      <c r="A103" s="15">
        <v>43956.0</v>
      </c>
      <c r="B103" s="8" t="s">
        <v>23</v>
      </c>
      <c r="C103" s="8">
        <v>54.0</v>
      </c>
      <c r="D103" s="8">
        <v>12775.0</v>
      </c>
      <c r="E103" s="8">
        <v>11887.0</v>
      </c>
    </row>
    <row r="104" ht="14.25" customHeight="1">
      <c r="A104" s="15">
        <v>43956.0</v>
      </c>
      <c r="B104" s="8" t="s">
        <v>22</v>
      </c>
      <c r="C104" s="8">
        <v>59.0</v>
      </c>
      <c r="D104" s="8">
        <v>13469.0</v>
      </c>
      <c r="E104" s="8">
        <v>12486.0</v>
      </c>
    </row>
    <row r="105" ht="14.25" customHeight="1">
      <c r="A105" s="15">
        <v>43956.0</v>
      </c>
      <c r="B105" s="8" t="s">
        <v>14</v>
      </c>
      <c r="C105" s="8">
        <v>19.0</v>
      </c>
      <c r="D105" s="8">
        <v>1417.0</v>
      </c>
      <c r="E105" s="8">
        <v>1245.0</v>
      </c>
    </row>
    <row r="106" ht="14.25" customHeight="1">
      <c r="A106" s="15">
        <v>43956.0</v>
      </c>
      <c r="B106" s="8" t="s">
        <v>24</v>
      </c>
      <c r="C106" s="8">
        <v>15.0</v>
      </c>
      <c r="D106" s="8">
        <v>750.0</v>
      </c>
      <c r="E106" s="8">
        <v>658.0</v>
      </c>
    </row>
    <row r="107" ht="14.25" customHeight="1">
      <c r="A107" s="15">
        <v>43956.0</v>
      </c>
      <c r="B107" s="8" t="s">
        <v>19</v>
      </c>
      <c r="C107" s="8">
        <v>15.0</v>
      </c>
      <c r="D107" s="8">
        <v>922.0</v>
      </c>
      <c r="E107" s="8">
        <v>823.0</v>
      </c>
    </row>
    <row r="108" ht="14.25" customHeight="1">
      <c r="A108" s="15">
        <v>43956.0</v>
      </c>
      <c r="B108" s="8" t="s">
        <v>20</v>
      </c>
      <c r="C108" s="8">
        <v>15.0</v>
      </c>
      <c r="D108" s="8">
        <v>455.0</v>
      </c>
      <c r="E108" s="8">
        <v>381.0</v>
      </c>
    </row>
    <row r="109" ht="14.25" customHeight="1">
      <c r="A109" s="15">
        <v>43956.0</v>
      </c>
      <c r="B109" s="8" t="s">
        <v>16</v>
      </c>
      <c r="C109" s="8">
        <v>125.0</v>
      </c>
      <c r="D109" s="8">
        <v>18944.0</v>
      </c>
      <c r="E109" s="8">
        <v>17541.0</v>
      </c>
    </row>
    <row r="110" ht="14.25" customHeight="1">
      <c r="A110" s="15">
        <v>43956.0</v>
      </c>
      <c r="B110" s="8" t="s">
        <v>15</v>
      </c>
      <c r="C110" s="8">
        <v>129.0</v>
      </c>
      <c r="D110" s="8">
        <v>15665.0</v>
      </c>
      <c r="E110" s="8">
        <v>14501.0</v>
      </c>
    </row>
    <row r="111" ht="14.25" customHeight="1">
      <c r="A111" s="15">
        <v>43956.0</v>
      </c>
      <c r="B111" s="8" t="s">
        <v>13</v>
      </c>
      <c r="C111" s="8">
        <v>10.0</v>
      </c>
      <c r="D111" s="8">
        <v>511.0</v>
      </c>
      <c r="E111" s="8">
        <v>437.0</v>
      </c>
    </row>
    <row r="112" ht="14.25" customHeight="1">
      <c r="A112" s="15">
        <v>43957.0</v>
      </c>
      <c r="B112" s="8" t="s">
        <v>17</v>
      </c>
      <c r="C112" s="8">
        <v>36.0</v>
      </c>
      <c r="D112" s="8">
        <v>4384.0</v>
      </c>
      <c r="E112" s="8">
        <v>4025.0</v>
      </c>
    </row>
    <row r="113" ht="14.25" customHeight="1">
      <c r="A113" s="15">
        <v>43957.0</v>
      </c>
      <c r="B113" s="8" t="s">
        <v>12</v>
      </c>
      <c r="C113" s="8">
        <v>31.0</v>
      </c>
      <c r="D113" s="8">
        <v>4709.0</v>
      </c>
      <c r="E113" s="8">
        <v>4348.0</v>
      </c>
    </row>
    <row r="114" ht="14.25" customHeight="1">
      <c r="A114" s="15">
        <v>43957.0</v>
      </c>
      <c r="B114" s="8" t="s">
        <v>18</v>
      </c>
      <c r="C114" s="8">
        <v>20.0</v>
      </c>
      <c r="D114" s="8">
        <v>1747.0</v>
      </c>
      <c r="E114" s="8">
        <v>1570.0</v>
      </c>
    </row>
    <row r="115" ht="14.25" customHeight="1">
      <c r="A115" s="15">
        <v>43957.0</v>
      </c>
      <c r="B115" s="8" t="s">
        <v>11</v>
      </c>
      <c r="C115" s="8">
        <v>20.0</v>
      </c>
      <c r="D115" s="8">
        <v>1784.0</v>
      </c>
      <c r="E115" s="8">
        <v>1632.0</v>
      </c>
    </row>
    <row r="116" ht="14.25" customHeight="1">
      <c r="A116" s="15">
        <v>43957.0</v>
      </c>
      <c r="B116" s="8" t="s">
        <v>21</v>
      </c>
      <c r="C116" s="8">
        <v>19.0</v>
      </c>
      <c r="D116" s="8">
        <v>1509.0</v>
      </c>
      <c r="E116" s="8">
        <v>1374.0</v>
      </c>
    </row>
    <row r="117" ht="14.25" customHeight="1">
      <c r="A117" s="15">
        <v>43957.0</v>
      </c>
      <c r="B117" s="8" t="s">
        <v>23</v>
      </c>
      <c r="C117" s="8">
        <v>54.0</v>
      </c>
      <c r="D117" s="8">
        <v>13406.0</v>
      </c>
      <c r="E117" s="8">
        <v>12518.0</v>
      </c>
    </row>
    <row r="118" ht="14.25" customHeight="1">
      <c r="A118" s="15">
        <v>43957.0</v>
      </c>
      <c r="B118" s="8" t="s">
        <v>22</v>
      </c>
      <c r="C118" s="8">
        <v>59.0</v>
      </c>
      <c r="D118" s="8">
        <v>14103.0</v>
      </c>
      <c r="E118" s="8">
        <v>13118.0</v>
      </c>
    </row>
    <row r="119" ht="14.25" customHeight="1">
      <c r="A119" s="15">
        <v>43957.0</v>
      </c>
      <c r="B119" s="8" t="s">
        <v>14</v>
      </c>
      <c r="C119" s="8">
        <v>19.0</v>
      </c>
      <c r="D119" s="8">
        <v>1499.0</v>
      </c>
      <c r="E119" s="8">
        <v>1323.0</v>
      </c>
    </row>
    <row r="120" ht="14.25" customHeight="1">
      <c r="A120" s="15">
        <v>43957.0</v>
      </c>
      <c r="B120" s="8" t="s">
        <v>24</v>
      </c>
      <c r="C120" s="8">
        <v>15.0</v>
      </c>
      <c r="D120" s="8">
        <v>701.0</v>
      </c>
      <c r="E120" s="8">
        <v>611.0</v>
      </c>
    </row>
    <row r="121" ht="14.25" customHeight="1">
      <c r="A121" s="15">
        <v>43957.0</v>
      </c>
      <c r="B121" s="8" t="s">
        <v>19</v>
      </c>
      <c r="C121" s="8">
        <v>15.0</v>
      </c>
      <c r="D121" s="8">
        <v>839.0</v>
      </c>
      <c r="E121" s="8">
        <v>733.0</v>
      </c>
    </row>
    <row r="122" ht="14.25" customHeight="1">
      <c r="A122" s="15">
        <v>43957.0</v>
      </c>
      <c r="B122" s="8" t="s">
        <v>20</v>
      </c>
      <c r="C122" s="8">
        <v>15.0</v>
      </c>
      <c r="D122" s="8">
        <v>467.0</v>
      </c>
      <c r="E122" s="8">
        <v>389.0</v>
      </c>
    </row>
    <row r="123" ht="14.25" customHeight="1">
      <c r="A123" s="15">
        <v>43957.0</v>
      </c>
      <c r="B123" s="8" t="s">
        <v>16</v>
      </c>
      <c r="C123" s="8">
        <v>125.0</v>
      </c>
      <c r="D123" s="8">
        <v>20218.0</v>
      </c>
      <c r="E123" s="8">
        <v>18647.0</v>
      </c>
    </row>
    <row r="124" ht="14.25" customHeight="1">
      <c r="A124" s="15">
        <v>43957.0</v>
      </c>
      <c r="B124" s="8" t="s">
        <v>15</v>
      </c>
      <c r="C124" s="8">
        <v>129.0</v>
      </c>
      <c r="D124" s="8">
        <v>16376.0</v>
      </c>
      <c r="E124" s="8">
        <v>15197.0</v>
      </c>
    </row>
    <row r="125" ht="14.25" customHeight="1">
      <c r="A125" s="15">
        <v>43957.0</v>
      </c>
      <c r="B125" s="8" t="s">
        <v>13</v>
      </c>
      <c r="C125" s="8">
        <v>10.0</v>
      </c>
      <c r="D125" s="8">
        <v>465.0</v>
      </c>
      <c r="E125" s="8">
        <v>390.0</v>
      </c>
    </row>
    <row r="126" ht="14.25" customHeight="1">
      <c r="A126" s="15">
        <v>43958.0</v>
      </c>
      <c r="B126" s="8" t="s">
        <v>17</v>
      </c>
      <c r="C126" s="8">
        <v>36.0</v>
      </c>
      <c r="D126" s="8">
        <v>4826.0</v>
      </c>
      <c r="E126" s="8">
        <v>4426.0</v>
      </c>
    </row>
    <row r="127" ht="14.25" customHeight="1">
      <c r="A127" s="15">
        <v>43958.0</v>
      </c>
      <c r="B127" s="8" t="s">
        <v>12</v>
      </c>
      <c r="C127" s="8">
        <v>31.0</v>
      </c>
      <c r="D127" s="8">
        <v>4903.0</v>
      </c>
      <c r="E127" s="8">
        <v>4527.0</v>
      </c>
    </row>
    <row r="128" ht="14.25" customHeight="1">
      <c r="A128" s="15">
        <v>43958.0</v>
      </c>
      <c r="B128" s="8" t="s">
        <v>18</v>
      </c>
      <c r="C128" s="8">
        <v>21.0</v>
      </c>
      <c r="D128" s="8">
        <v>1879.0</v>
      </c>
      <c r="E128" s="8">
        <v>1695.0</v>
      </c>
    </row>
    <row r="129" ht="14.25" customHeight="1">
      <c r="A129" s="15">
        <v>43958.0</v>
      </c>
      <c r="B129" s="8" t="s">
        <v>11</v>
      </c>
      <c r="C129" s="8">
        <v>21.0</v>
      </c>
      <c r="D129" s="8">
        <v>1542.0</v>
      </c>
      <c r="E129" s="8">
        <v>1405.0</v>
      </c>
    </row>
    <row r="130" ht="14.25" customHeight="1">
      <c r="A130" s="15">
        <v>43958.0</v>
      </c>
      <c r="B130" s="8" t="s">
        <v>21</v>
      </c>
      <c r="C130" s="8">
        <v>19.0</v>
      </c>
      <c r="D130" s="8">
        <v>1580.0</v>
      </c>
      <c r="E130" s="8">
        <v>1435.0</v>
      </c>
    </row>
    <row r="131" ht="14.25" customHeight="1">
      <c r="A131" s="15">
        <v>43958.0</v>
      </c>
      <c r="B131" s="8" t="s">
        <v>23</v>
      </c>
      <c r="C131" s="8">
        <v>54.0</v>
      </c>
      <c r="D131" s="8">
        <v>12743.0</v>
      </c>
      <c r="E131" s="8">
        <v>11858.0</v>
      </c>
    </row>
    <row r="132" ht="14.25" customHeight="1">
      <c r="A132" s="15">
        <v>43958.0</v>
      </c>
      <c r="B132" s="8" t="s">
        <v>22</v>
      </c>
      <c r="C132" s="8">
        <v>59.0</v>
      </c>
      <c r="D132" s="8">
        <v>13495.0</v>
      </c>
      <c r="E132" s="8">
        <v>12517.0</v>
      </c>
    </row>
    <row r="133" ht="14.25" customHeight="1">
      <c r="A133" s="15">
        <v>43958.0</v>
      </c>
      <c r="B133" s="8" t="s">
        <v>14</v>
      </c>
      <c r="C133" s="8">
        <v>19.0</v>
      </c>
      <c r="D133" s="8">
        <v>1530.0</v>
      </c>
      <c r="E133" s="8">
        <v>1338.0</v>
      </c>
    </row>
    <row r="134" ht="14.25" customHeight="1">
      <c r="A134" s="15">
        <v>43958.0</v>
      </c>
      <c r="B134" s="8" t="s">
        <v>24</v>
      </c>
      <c r="C134" s="8">
        <v>15.0</v>
      </c>
      <c r="D134" s="8">
        <v>676.0</v>
      </c>
      <c r="E134" s="8">
        <v>591.0</v>
      </c>
    </row>
    <row r="135" ht="14.25" customHeight="1">
      <c r="A135" s="15">
        <v>43958.0</v>
      </c>
      <c r="B135" s="8" t="s">
        <v>19</v>
      </c>
      <c r="C135" s="8">
        <v>15.0</v>
      </c>
      <c r="D135" s="8">
        <v>805.0</v>
      </c>
      <c r="E135" s="8">
        <v>703.0</v>
      </c>
    </row>
    <row r="136" ht="14.25" customHeight="1">
      <c r="A136" s="15">
        <v>43958.0</v>
      </c>
      <c r="B136" s="8" t="s">
        <v>20</v>
      </c>
      <c r="C136" s="8">
        <v>15.0</v>
      </c>
      <c r="D136" s="8">
        <v>480.0</v>
      </c>
      <c r="E136" s="8">
        <v>398.0</v>
      </c>
    </row>
    <row r="137" ht="14.25" customHeight="1">
      <c r="A137" s="15">
        <v>43958.0</v>
      </c>
      <c r="B137" s="8" t="s">
        <v>16</v>
      </c>
      <c r="C137" s="8">
        <v>125.0</v>
      </c>
      <c r="D137" s="8">
        <v>18014.0</v>
      </c>
      <c r="E137" s="8">
        <v>16675.0</v>
      </c>
    </row>
    <row r="138" ht="14.25" customHeight="1">
      <c r="A138" s="15">
        <v>43958.0</v>
      </c>
      <c r="B138" s="8" t="s">
        <v>15</v>
      </c>
      <c r="C138" s="8">
        <v>129.0</v>
      </c>
      <c r="D138" s="8">
        <v>14582.0</v>
      </c>
      <c r="E138" s="8">
        <v>13512.0</v>
      </c>
    </row>
    <row r="139" ht="14.25" customHeight="1">
      <c r="A139" s="15">
        <v>43958.0</v>
      </c>
      <c r="B139" s="8" t="s">
        <v>13</v>
      </c>
      <c r="C139" s="8">
        <v>10.0</v>
      </c>
      <c r="D139" s="8">
        <v>563.0</v>
      </c>
      <c r="E139" s="8">
        <v>486.0</v>
      </c>
    </row>
    <row r="140" ht="14.25" customHeight="1">
      <c r="A140" s="15">
        <v>43959.0</v>
      </c>
      <c r="B140" s="8" t="s">
        <v>17</v>
      </c>
      <c r="C140" s="8">
        <v>36.0</v>
      </c>
      <c r="D140" s="8">
        <v>4199.0</v>
      </c>
      <c r="E140" s="8">
        <v>3867.0</v>
      </c>
    </row>
    <row r="141" ht="14.25" customHeight="1">
      <c r="A141" s="15">
        <v>43959.0</v>
      </c>
      <c r="B141" s="8" t="s">
        <v>12</v>
      </c>
      <c r="C141" s="8">
        <v>31.0</v>
      </c>
      <c r="D141" s="8">
        <v>4635.0</v>
      </c>
      <c r="E141" s="8">
        <v>4266.0</v>
      </c>
    </row>
    <row r="142" ht="14.25" customHeight="1">
      <c r="A142" s="15">
        <v>43959.0</v>
      </c>
      <c r="B142" s="8" t="s">
        <v>18</v>
      </c>
      <c r="C142" s="8">
        <v>21.0</v>
      </c>
      <c r="D142" s="8">
        <v>1957.0</v>
      </c>
      <c r="E142" s="8">
        <v>1755.0</v>
      </c>
    </row>
    <row r="143" ht="14.25" customHeight="1">
      <c r="A143" s="15">
        <v>43959.0</v>
      </c>
      <c r="B143" s="8" t="s">
        <v>11</v>
      </c>
      <c r="C143" s="8">
        <v>21.0</v>
      </c>
      <c r="D143" s="8">
        <v>1646.0</v>
      </c>
      <c r="E143" s="8">
        <v>1492.0</v>
      </c>
    </row>
    <row r="144" ht="14.25" customHeight="1">
      <c r="A144" s="15">
        <v>43959.0</v>
      </c>
      <c r="B144" s="8" t="s">
        <v>21</v>
      </c>
      <c r="C144" s="8">
        <v>19.0</v>
      </c>
      <c r="D144" s="8">
        <v>1520.0</v>
      </c>
      <c r="E144" s="8">
        <v>1380.0</v>
      </c>
    </row>
    <row r="145" ht="14.25" customHeight="1">
      <c r="A145" s="15">
        <v>43959.0</v>
      </c>
      <c r="B145" s="8" t="s">
        <v>23</v>
      </c>
      <c r="C145" s="8">
        <v>54.0</v>
      </c>
      <c r="D145" s="8">
        <v>13563.0</v>
      </c>
      <c r="E145" s="8">
        <v>12604.0</v>
      </c>
    </row>
    <row r="146" ht="14.25" customHeight="1">
      <c r="A146" s="15">
        <v>43959.0</v>
      </c>
      <c r="B146" s="8" t="s">
        <v>22</v>
      </c>
      <c r="C146" s="8">
        <v>59.0</v>
      </c>
      <c r="D146" s="8">
        <v>14098.0</v>
      </c>
      <c r="E146" s="8">
        <v>13106.0</v>
      </c>
    </row>
    <row r="147" ht="14.25" customHeight="1">
      <c r="A147" s="15">
        <v>43959.0</v>
      </c>
      <c r="B147" s="8" t="s">
        <v>14</v>
      </c>
      <c r="C147" s="8">
        <v>19.0</v>
      </c>
      <c r="D147" s="8">
        <v>1522.0</v>
      </c>
      <c r="E147" s="8">
        <v>1340.0</v>
      </c>
    </row>
    <row r="148" ht="14.25" customHeight="1">
      <c r="A148" s="15">
        <v>43959.0</v>
      </c>
      <c r="B148" s="8" t="s">
        <v>24</v>
      </c>
      <c r="C148" s="8">
        <v>15.0</v>
      </c>
      <c r="D148" s="8">
        <v>703.0</v>
      </c>
      <c r="E148" s="8">
        <v>609.0</v>
      </c>
    </row>
    <row r="149" ht="14.25" customHeight="1">
      <c r="A149" s="15">
        <v>43959.0</v>
      </c>
      <c r="B149" s="8" t="s">
        <v>19</v>
      </c>
      <c r="C149" s="8">
        <v>15.0</v>
      </c>
      <c r="D149" s="8">
        <v>879.0</v>
      </c>
      <c r="E149" s="8">
        <v>768.0</v>
      </c>
    </row>
    <row r="150" ht="14.25" customHeight="1">
      <c r="A150" s="15">
        <v>43959.0</v>
      </c>
      <c r="B150" s="8" t="s">
        <v>20</v>
      </c>
      <c r="C150" s="8">
        <v>15.0</v>
      </c>
      <c r="D150" s="8">
        <v>492.0</v>
      </c>
      <c r="E150" s="8">
        <v>412.0</v>
      </c>
    </row>
    <row r="151" ht="14.25" customHeight="1">
      <c r="A151" s="15">
        <v>43959.0</v>
      </c>
      <c r="B151" s="8" t="s">
        <v>16</v>
      </c>
      <c r="C151" s="8">
        <v>125.0</v>
      </c>
      <c r="D151" s="8">
        <v>24620.0</v>
      </c>
      <c r="E151" s="8">
        <v>22641.0</v>
      </c>
    </row>
    <row r="152" ht="14.25" customHeight="1">
      <c r="A152" s="15">
        <v>43959.0</v>
      </c>
      <c r="B152" s="8" t="s">
        <v>15</v>
      </c>
      <c r="C152" s="8">
        <v>129.0</v>
      </c>
      <c r="D152" s="8">
        <v>20452.0</v>
      </c>
      <c r="E152" s="8">
        <v>18857.0</v>
      </c>
    </row>
    <row r="153" ht="14.25" customHeight="1">
      <c r="A153" s="15">
        <v>43959.0</v>
      </c>
      <c r="B153" s="8" t="s">
        <v>13</v>
      </c>
      <c r="C153" s="8">
        <v>10.0</v>
      </c>
      <c r="D153" s="8">
        <v>638.0</v>
      </c>
      <c r="E153" s="8">
        <v>547.0</v>
      </c>
    </row>
    <row r="154" ht="14.25" customHeight="1">
      <c r="A154" s="15">
        <v>43960.0</v>
      </c>
      <c r="B154" s="8" t="s">
        <v>17</v>
      </c>
      <c r="C154" s="8">
        <v>36.0</v>
      </c>
      <c r="D154" s="8">
        <v>5413.0</v>
      </c>
      <c r="E154" s="8">
        <v>4959.0</v>
      </c>
    </row>
    <row r="155" ht="14.25" customHeight="1">
      <c r="A155" s="15">
        <v>43960.0</v>
      </c>
      <c r="B155" s="8" t="s">
        <v>12</v>
      </c>
      <c r="C155" s="8">
        <v>31.0</v>
      </c>
      <c r="D155" s="8">
        <v>4556.0</v>
      </c>
      <c r="E155" s="8">
        <v>4220.0</v>
      </c>
    </row>
    <row r="156" ht="14.25" customHeight="1">
      <c r="A156" s="15">
        <v>43960.0</v>
      </c>
      <c r="B156" s="8" t="s">
        <v>18</v>
      </c>
      <c r="C156" s="8">
        <v>21.0</v>
      </c>
      <c r="D156" s="8">
        <v>1891.0</v>
      </c>
      <c r="E156" s="8">
        <v>1709.0</v>
      </c>
    </row>
    <row r="157" ht="14.25" customHeight="1">
      <c r="A157" s="15">
        <v>43960.0</v>
      </c>
      <c r="B157" s="8" t="s">
        <v>11</v>
      </c>
      <c r="C157" s="8">
        <v>21.0</v>
      </c>
      <c r="D157" s="8">
        <v>1735.0</v>
      </c>
      <c r="E157" s="8">
        <v>1568.0</v>
      </c>
    </row>
    <row r="158" ht="14.25" customHeight="1">
      <c r="A158" s="15">
        <v>43960.0</v>
      </c>
      <c r="B158" s="8" t="s">
        <v>21</v>
      </c>
      <c r="C158" s="8">
        <v>19.0</v>
      </c>
      <c r="D158" s="8">
        <v>1542.0</v>
      </c>
      <c r="E158" s="8">
        <v>1412.0</v>
      </c>
    </row>
    <row r="159" ht="14.25" customHeight="1">
      <c r="A159" s="15">
        <v>43960.0</v>
      </c>
      <c r="B159" s="8" t="s">
        <v>23</v>
      </c>
      <c r="C159" s="8">
        <v>54.0</v>
      </c>
      <c r="D159" s="8">
        <v>11288.0</v>
      </c>
      <c r="E159" s="8">
        <v>10492.0</v>
      </c>
    </row>
    <row r="160" ht="14.25" customHeight="1">
      <c r="A160" s="15">
        <v>43960.0</v>
      </c>
      <c r="B160" s="8" t="s">
        <v>22</v>
      </c>
      <c r="C160" s="8">
        <v>59.0</v>
      </c>
      <c r="D160" s="8">
        <v>12016.0</v>
      </c>
      <c r="E160" s="8">
        <v>11137.0</v>
      </c>
    </row>
    <row r="161" ht="14.25" customHeight="1">
      <c r="A161" s="15">
        <v>43960.0</v>
      </c>
      <c r="B161" s="8" t="s">
        <v>14</v>
      </c>
      <c r="C161" s="8">
        <v>19.0</v>
      </c>
      <c r="D161" s="8">
        <v>1851.0</v>
      </c>
      <c r="E161" s="8">
        <v>1635.0</v>
      </c>
    </row>
    <row r="162" ht="14.25" customHeight="1">
      <c r="A162" s="15">
        <v>43960.0</v>
      </c>
      <c r="B162" s="8" t="s">
        <v>24</v>
      </c>
      <c r="C162" s="8">
        <v>15.0</v>
      </c>
      <c r="D162" s="8">
        <v>654.0</v>
      </c>
      <c r="E162" s="8">
        <v>570.0</v>
      </c>
    </row>
    <row r="163" ht="14.25" customHeight="1">
      <c r="A163" s="15">
        <v>43960.0</v>
      </c>
      <c r="B163" s="8" t="s">
        <v>19</v>
      </c>
      <c r="C163" s="8">
        <v>15.0</v>
      </c>
      <c r="D163" s="8">
        <v>849.0</v>
      </c>
      <c r="E163" s="8">
        <v>740.0</v>
      </c>
    </row>
    <row r="164" ht="14.25" customHeight="1">
      <c r="A164" s="15">
        <v>43960.0</v>
      </c>
      <c r="B164" s="8" t="s">
        <v>20</v>
      </c>
      <c r="C164" s="8">
        <v>15.0</v>
      </c>
      <c r="D164" s="8">
        <v>623.0</v>
      </c>
      <c r="E164" s="8">
        <v>535.0</v>
      </c>
    </row>
    <row r="165" ht="14.25" customHeight="1">
      <c r="A165" s="15">
        <v>43960.0</v>
      </c>
      <c r="B165" s="8" t="s">
        <v>16</v>
      </c>
      <c r="C165" s="8">
        <v>125.0</v>
      </c>
      <c r="D165" s="8">
        <v>20132.0</v>
      </c>
      <c r="E165" s="8">
        <v>18617.0</v>
      </c>
    </row>
    <row r="166" ht="14.25" customHeight="1">
      <c r="A166" s="15">
        <v>43960.0</v>
      </c>
      <c r="B166" s="8" t="s">
        <v>15</v>
      </c>
      <c r="C166" s="8">
        <v>129.0</v>
      </c>
      <c r="D166" s="8">
        <v>16420.0</v>
      </c>
      <c r="E166" s="8">
        <v>15169.0</v>
      </c>
    </row>
    <row r="167" ht="14.25" customHeight="1">
      <c r="A167" s="15">
        <v>43960.0</v>
      </c>
      <c r="B167" s="8" t="s">
        <v>13</v>
      </c>
      <c r="C167" s="8">
        <v>10.0</v>
      </c>
      <c r="D167" s="8">
        <v>644.0</v>
      </c>
      <c r="E167" s="8">
        <v>559.0</v>
      </c>
    </row>
    <row r="168" ht="14.25" customHeight="1">
      <c r="A168" s="15">
        <v>43961.0</v>
      </c>
      <c r="B168" s="8" t="s">
        <v>17</v>
      </c>
      <c r="C168" s="8">
        <v>36.0</v>
      </c>
      <c r="D168" s="8">
        <v>5746.0</v>
      </c>
      <c r="E168" s="8">
        <v>5277.0</v>
      </c>
    </row>
    <row r="169" ht="14.25" customHeight="1">
      <c r="A169" s="15">
        <v>43961.0</v>
      </c>
      <c r="B169" s="8" t="s">
        <v>12</v>
      </c>
      <c r="C169" s="8">
        <v>31.0</v>
      </c>
      <c r="D169" s="8">
        <v>5495.0</v>
      </c>
      <c r="E169" s="8">
        <v>5093.0</v>
      </c>
    </row>
    <row r="170" ht="14.25" customHeight="1">
      <c r="A170" s="15">
        <v>43961.0</v>
      </c>
      <c r="B170" s="8" t="s">
        <v>18</v>
      </c>
      <c r="C170" s="8">
        <v>21.0</v>
      </c>
      <c r="D170" s="8">
        <v>2120.0</v>
      </c>
      <c r="E170" s="8">
        <v>1921.0</v>
      </c>
    </row>
    <row r="171" ht="14.25" customHeight="1">
      <c r="A171" s="15">
        <v>43961.0</v>
      </c>
      <c r="B171" s="8" t="s">
        <v>11</v>
      </c>
      <c r="C171" s="8">
        <v>21.0</v>
      </c>
      <c r="D171" s="8">
        <v>2016.0</v>
      </c>
      <c r="E171" s="8">
        <v>1846.0</v>
      </c>
    </row>
    <row r="172" ht="14.25" customHeight="1">
      <c r="A172" s="15">
        <v>43961.0</v>
      </c>
      <c r="B172" s="8" t="s">
        <v>21</v>
      </c>
      <c r="C172" s="8">
        <v>19.0</v>
      </c>
      <c r="D172" s="8">
        <v>1836.0</v>
      </c>
      <c r="E172" s="8">
        <v>1680.0</v>
      </c>
    </row>
    <row r="173" ht="14.25" customHeight="1">
      <c r="A173" s="15">
        <v>43961.0</v>
      </c>
      <c r="B173" s="8" t="s">
        <v>23</v>
      </c>
      <c r="C173" s="8">
        <v>54.0</v>
      </c>
      <c r="D173" s="8">
        <v>13832.0</v>
      </c>
      <c r="E173" s="8">
        <v>12864.0</v>
      </c>
    </row>
    <row r="174" ht="14.25" customHeight="1">
      <c r="A174" s="15">
        <v>43961.0</v>
      </c>
      <c r="B174" s="8" t="s">
        <v>22</v>
      </c>
      <c r="C174" s="8">
        <v>59.0</v>
      </c>
      <c r="D174" s="8">
        <v>14569.0</v>
      </c>
      <c r="E174" s="8">
        <v>13566.0</v>
      </c>
    </row>
    <row r="175" ht="14.25" customHeight="1">
      <c r="A175" s="15">
        <v>43961.0</v>
      </c>
      <c r="B175" s="8" t="s">
        <v>14</v>
      </c>
      <c r="C175" s="8">
        <v>19.0</v>
      </c>
      <c r="D175" s="8">
        <v>1848.0</v>
      </c>
      <c r="E175" s="8">
        <v>1649.0</v>
      </c>
    </row>
    <row r="176" ht="14.25" customHeight="1">
      <c r="A176" s="15">
        <v>43961.0</v>
      </c>
      <c r="B176" s="8" t="s">
        <v>24</v>
      </c>
      <c r="C176" s="8">
        <v>15.0</v>
      </c>
      <c r="D176" s="8">
        <v>792.0</v>
      </c>
      <c r="E176" s="8">
        <v>695.0</v>
      </c>
    </row>
    <row r="177" ht="14.25" customHeight="1">
      <c r="A177" s="15">
        <v>43961.0</v>
      </c>
      <c r="B177" s="8" t="s">
        <v>19</v>
      </c>
      <c r="C177" s="8">
        <v>15.0</v>
      </c>
      <c r="D177" s="8">
        <v>950.0</v>
      </c>
      <c r="E177" s="8">
        <v>848.0</v>
      </c>
    </row>
    <row r="178" ht="14.25" customHeight="1">
      <c r="A178" s="15">
        <v>43961.0</v>
      </c>
      <c r="B178" s="8" t="s">
        <v>20</v>
      </c>
      <c r="C178" s="8">
        <v>15.0</v>
      </c>
      <c r="D178" s="8">
        <v>706.0</v>
      </c>
      <c r="E178" s="8">
        <v>608.0</v>
      </c>
    </row>
    <row r="179" ht="14.25" customHeight="1">
      <c r="A179" s="15">
        <v>43961.0</v>
      </c>
      <c r="B179" s="8" t="s">
        <v>16</v>
      </c>
      <c r="C179" s="8">
        <v>125.0</v>
      </c>
      <c r="D179" s="8">
        <v>20368.0</v>
      </c>
      <c r="E179" s="8">
        <v>18884.0</v>
      </c>
    </row>
    <row r="180" ht="14.25" customHeight="1">
      <c r="A180" s="15">
        <v>43961.0</v>
      </c>
      <c r="B180" s="8" t="s">
        <v>15</v>
      </c>
      <c r="C180" s="8">
        <v>129.0</v>
      </c>
      <c r="D180" s="8">
        <v>16437.0</v>
      </c>
      <c r="E180" s="8">
        <v>15285.0</v>
      </c>
    </row>
    <row r="181" ht="14.25" customHeight="1">
      <c r="A181" s="15">
        <v>43961.0</v>
      </c>
      <c r="B181" s="8" t="s">
        <v>13</v>
      </c>
      <c r="C181" s="8">
        <v>10.0</v>
      </c>
      <c r="D181" s="8">
        <v>642.0</v>
      </c>
      <c r="E181" s="8">
        <v>556.0</v>
      </c>
    </row>
    <row r="182" ht="14.25" customHeight="1">
      <c r="A182" s="15">
        <v>43962.0</v>
      </c>
      <c r="B182" s="8" t="s">
        <v>17</v>
      </c>
      <c r="C182" s="8">
        <v>36.0</v>
      </c>
      <c r="D182" s="8">
        <v>4150.0</v>
      </c>
      <c r="E182" s="8">
        <v>3838.0</v>
      </c>
    </row>
    <row r="183" ht="14.25" customHeight="1">
      <c r="A183" s="15">
        <v>43962.0</v>
      </c>
      <c r="B183" s="8" t="s">
        <v>12</v>
      </c>
      <c r="C183" s="8">
        <v>31.0</v>
      </c>
      <c r="D183" s="8">
        <v>4826.0</v>
      </c>
      <c r="E183" s="8">
        <v>4483.0</v>
      </c>
    </row>
    <row r="184" ht="14.25" customHeight="1">
      <c r="A184" s="15">
        <v>43962.0</v>
      </c>
      <c r="B184" s="8" t="s">
        <v>18</v>
      </c>
      <c r="C184" s="8">
        <v>21.0</v>
      </c>
      <c r="D184" s="8">
        <v>1916.0</v>
      </c>
      <c r="E184" s="8">
        <v>1733.0</v>
      </c>
    </row>
    <row r="185" ht="14.25" customHeight="1">
      <c r="A185" s="15">
        <v>43962.0</v>
      </c>
      <c r="B185" s="8" t="s">
        <v>11</v>
      </c>
      <c r="C185" s="8">
        <v>21.0</v>
      </c>
      <c r="D185" s="8">
        <v>1597.0</v>
      </c>
      <c r="E185" s="8">
        <v>1457.0</v>
      </c>
    </row>
    <row r="186" ht="14.25" customHeight="1">
      <c r="A186" s="15">
        <v>43962.0</v>
      </c>
      <c r="B186" s="8" t="s">
        <v>21</v>
      </c>
      <c r="C186" s="8">
        <v>19.0</v>
      </c>
      <c r="D186" s="8">
        <v>1527.0</v>
      </c>
      <c r="E186" s="8">
        <v>1389.0</v>
      </c>
    </row>
    <row r="187" ht="14.25" customHeight="1">
      <c r="A187" s="15">
        <v>43962.0</v>
      </c>
      <c r="B187" s="8" t="s">
        <v>23</v>
      </c>
      <c r="C187" s="8">
        <v>54.0</v>
      </c>
      <c r="D187" s="8">
        <v>10570.0</v>
      </c>
      <c r="E187" s="8">
        <v>9926.0</v>
      </c>
    </row>
    <row r="188" ht="14.25" customHeight="1">
      <c r="A188" s="15">
        <v>43962.0</v>
      </c>
      <c r="B188" s="8" t="s">
        <v>22</v>
      </c>
      <c r="C188" s="8">
        <v>60.0</v>
      </c>
      <c r="D188" s="8">
        <v>11100.0</v>
      </c>
      <c r="E188" s="8">
        <v>10407.0</v>
      </c>
    </row>
    <row r="189" ht="14.25" customHeight="1">
      <c r="A189" s="15">
        <v>43962.0</v>
      </c>
      <c r="B189" s="8" t="s">
        <v>14</v>
      </c>
      <c r="C189" s="8">
        <v>19.0</v>
      </c>
      <c r="D189" s="8">
        <v>2530.0</v>
      </c>
      <c r="E189" s="8">
        <v>2270.0</v>
      </c>
    </row>
    <row r="190" ht="14.25" customHeight="1">
      <c r="A190" s="15">
        <v>43962.0</v>
      </c>
      <c r="B190" s="8" t="s">
        <v>24</v>
      </c>
      <c r="C190" s="8">
        <v>15.0</v>
      </c>
      <c r="D190" s="8">
        <v>654.0</v>
      </c>
      <c r="E190" s="8">
        <v>564.0</v>
      </c>
    </row>
    <row r="191" ht="14.25" customHeight="1">
      <c r="A191" s="15">
        <v>43962.0</v>
      </c>
      <c r="B191" s="8" t="s">
        <v>19</v>
      </c>
      <c r="C191" s="8">
        <v>15.0</v>
      </c>
      <c r="D191" s="8">
        <v>812.0</v>
      </c>
      <c r="E191" s="8">
        <v>714.0</v>
      </c>
    </row>
    <row r="192" ht="14.25" customHeight="1">
      <c r="A192" s="15">
        <v>43962.0</v>
      </c>
      <c r="B192" s="8" t="s">
        <v>20</v>
      </c>
      <c r="C192" s="8">
        <v>15.0</v>
      </c>
      <c r="D192" s="8">
        <v>684.0</v>
      </c>
      <c r="E192" s="8">
        <v>585.0</v>
      </c>
    </row>
    <row r="193" ht="14.25" customHeight="1">
      <c r="A193" s="15">
        <v>43962.0</v>
      </c>
      <c r="B193" s="8" t="s">
        <v>16</v>
      </c>
      <c r="C193" s="8">
        <v>125.0</v>
      </c>
      <c r="D193" s="8">
        <v>18066.0</v>
      </c>
      <c r="E193" s="8">
        <v>16883.0</v>
      </c>
    </row>
    <row r="194" ht="14.25" customHeight="1">
      <c r="A194" s="15">
        <v>43962.0</v>
      </c>
      <c r="B194" s="8" t="s">
        <v>15</v>
      </c>
      <c r="C194" s="8">
        <v>129.0</v>
      </c>
      <c r="D194" s="8">
        <v>14043.0</v>
      </c>
      <c r="E194" s="8">
        <v>13167.0</v>
      </c>
    </row>
    <row r="195" ht="14.25" customHeight="1">
      <c r="A195" s="15">
        <v>43962.0</v>
      </c>
      <c r="B195" s="8" t="s">
        <v>13</v>
      </c>
      <c r="C195" s="8">
        <v>10.0</v>
      </c>
      <c r="D195" s="8">
        <v>494.0</v>
      </c>
      <c r="E195" s="8">
        <v>421.0</v>
      </c>
    </row>
    <row r="196" ht="14.25" customHeight="1">
      <c r="A196" s="15">
        <v>43963.0</v>
      </c>
      <c r="B196" s="8" t="s">
        <v>17</v>
      </c>
      <c r="C196" s="8">
        <v>36.0</v>
      </c>
      <c r="D196" s="8">
        <v>4418.0</v>
      </c>
      <c r="E196" s="8">
        <v>4088.0</v>
      </c>
    </row>
    <row r="197" ht="14.25" customHeight="1">
      <c r="A197" s="15">
        <v>43963.0</v>
      </c>
      <c r="B197" s="8" t="s">
        <v>12</v>
      </c>
      <c r="C197" s="8">
        <v>31.0</v>
      </c>
      <c r="D197" s="8">
        <v>4800.0</v>
      </c>
      <c r="E197" s="8">
        <v>4470.0</v>
      </c>
    </row>
    <row r="198" ht="14.25" customHeight="1">
      <c r="A198" s="15">
        <v>43963.0</v>
      </c>
      <c r="B198" s="8" t="s">
        <v>18</v>
      </c>
      <c r="C198" s="8">
        <v>21.0</v>
      </c>
      <c r="D198" s="8">
        <v>1926.0</v>
      </c>
      <c r="E198" s="8">
        <v>1745.0</v>
      </c>
    </row>
    <row r="199" ht="14.25" customHeight="1">
      <c r="A199" s="15">
        <v>43963.0</v>
      </c>
      <c r="B199" s="8" t="s">
        <v>11</v>
      </c>
      <c r="C199" s="8">
        <v>21.0</v>
      </c>
      <c r="D199" s="8">
        <v>1656.0</v>
      </c>
      <c r="E199" s="8">
        <v>1516.0</v>
      </c>
    </row>
    <row r="200" ht="14.25" customHeight="1">
      <c r="A200" s="15">
        <v>43963.0</v>
      </c>
      <c r="B200" s="8" t="s">
        <v>21</v>
      </c>
      <c r="C200" s="8">
        <v>19.0</v>
      </c>
      <c r="D200" s="8">
        <v>1598.0</v>
      </c>
      <c r="E200" s="8">
        <v>1454.0</v>
      </c>
    </row>
    <row r="201" ht="14.25" customHeight="1">
      <c r="A201" s="15">
        <v>43963.0</v>
      </c>
      <c r="B201" s="8" t="s">
        <v>23</v>
      </c>
      <c r="C201" s="8">
        <v>54.0</v>
      </c>
      <c r="D201" s="8">
        <v>11614.0</v>
      </c>
      <c r="E201" s="8">
        <v>10862.0</v>
      </c>
    </row>
    <row r="202" ht="14.25" customHeight="1">
      <c r="A202" s="15">
        <v>43963.0</v>
      </c>
      <c r="B202" s="8" t="s">
        <v>22</v>
      </c>
      <c r="C202" s="8">
        <v>60.0</v>
      </c>
      <c r="D202" s="8">
        <v>12000.0</v>
      </c>
      <c r="E202" s="8">
        <v>11194.0</v>
      </c>
    </row>
    <row r="203" ht="14.25" customHeight="1">
      <c r="A203" s="15">
        <v>43963.0</v>
      </c>
      <c r="B203" s="8" t="s">
        <v>14</v>
      </c>
      <c r="C203" s="8">
        <v>19.0</v>
      </c>
      <c r="D203" s="8">
        <v>1649.0</v>
      </c>
      <c r="E203" s="8">
        <v>1460.0</v>
      </c>
    </row>
    <row r="204" ht="14.25" customHeight="1">
      <c r="A204" s="15">
        <v>43963.0</v>
      </c>
      <c r="B204" s="8" t="s">
        <v>24</v>
      </c>
      <c r="C204" s="8">
        <v>15.0</v>
      </c>
      <c r="D204" s="8">
        <v>750.0</v>
      </c>
      <c r="E204" s="8">
        <v>659.0</v>
      </c>
    </row>
    <row r="205" ht="14.25" customHeight="1">
      <c r="A205" s="15">
        <v>43963.0</v>
      </c>
      <c r="B205" s="8" t="s">
        <v>19</v>
      </c>
      <c r="C205" s="8">
        <v>15.0</v>
      </c>
      <c r="D205" s="8">
        <v>845.0</v>
      </c>
      <c r="E205" s="8">
        <v>743.0</v>
      </c>
    </row>
    <row r="206" ht="14.25" customHeight="1">
      <c r="A206" s="15">
        <v>43963.0</v>
      </c>
      <c r="B206" s="8" t="s">
        <v>20</v>
      </c>
      <c r="C206" s="8">
        <v>15.0</v>
      </c>
      <c r="D206" s="8">
        <v>624.0</v>
      </c>
      <c r="E206" s="8">
        <v>538.0</v>
      </c>
    </row>
    <row r="207" ht="14.25" customHeight="1">
      <c r="A207" s="15">
        <v>43963.0</v>
      </c>
      <c r="B207" s="8" t="s">
        <v>16</v>
      </c>
      <c r="C207" s="8">
        <v>125.0</v>
      </c>
      <c r="D207" s="8">
        <v>21106.0</v>
      </c>
      <c r="E207" s="8">
        <v>19651.0</v>
      </c>
    </row>
    <row r="208" ht="14.25" customHeight="1">
      <c r="A208" s="15">
        <v>43963.0</v>
      </c>
      <c r="B208" s="8" t="s">
        <v>15</v>
      </c>
      <c r="C208" s="8">
        <v>129.0</v>
      </c>
      <c r="D208" s="8">
        <v>16387.0</v>
      </c>
      <c r="E208" s="8">
        <v>15322.0</v>
      </c>
    </row>
    <row r="209" ht="14.25" customHeight="1">
      <c r="A209" s="15">
        <v>43963.0</v>
      </c>
      <c r="B209" s="8" t="s">
        <v>13</v>
      </c>
      <c r="C209" s="8">
        <v>10.0</v>
      </c>
      <c r="D209" s="8">
        <v>526.0</v>
      </c>
      <c r="E209" s="8">
        <v>448.0</v>
      </c>
    </row>
    <row r="210" ht="14.25" customHeight="1">
      <c r="A210" s="15">
        <v>43964.0</v>
      </c>
      <c r="B210" s="8" t="s">
        <v>17</v>
      </c>
      <c r="C210" s="8">
        <v>36.0</v>
      </c>
      <c r="D210" s="8">
        <v>4967.0</v>
      </c>
      <c r="E210" s="8">
        <v>4583.0</v>
      </c>
    </row>
    <row r="211" ht="14.25" customHeight="1">
      <c r="A211" s="15">
        <v>43964.0</v>
      </c>
      <c r="B211" s="8" t="s">
        <v>12</v>
      </c>
      <c r="C211" s="8">
        <v>31.0</v>
      </c>
      <c r="D211" s="8">
        <v>5251.0</v>
      </c>
      <c r="E211" s="8">
        <v>4853.0</v>
      </c>
    </row>
    <row r="212" ht="14.25" customHeight="1">
      <c r="A212" s="15">
        <v>43964.0</v>
      </c>
      <c r="B212" s="8" t="s">
        <v>18</v>
      </c>
      <c r="C212" s="8">
        <v>21.0</v>
      </c>
      <c r="D212" s="8">
        <v>2061.0</v>
      </c>
      <c r="E212" s="8">
        <v>1876.0</v>
      </c>
    </row>
    <row r="213" ht="14.25" customHeight="1">
      <c r="A213" s="15">
        <v>43964.0</v>
      </c>
      <c r="B213" s="8" t="s">
        <v>11</v>
      </c>
      <c r="C213" s="8">
        <v>21.0</v>
      </c>
      <c r="D213" s="8">
        <v>1698.0</v>
      </c>
      <c r="E213" s="8">
        <v>1554.0</v>
      </c>
    </row>
    <row r="214" ht="14.25" customHeight="1">
      <c r="A214" s="15">
        <v>43964.0</v>
      </c>
      <c r="B214" s="8" t="s">
        <v>21</v>
      </c>
      <c r="C214" s="8">
        <v>19.0</v>
      </c>
      <c r="D214" s="8">
        <v>1605.0</v>
      </c>
      <c r="E214" s="8">
        <v>1447.0</v>
      </c>
    </row>
    <row r="215" ht="14.25" customHeight="1">
      <c r="A215" s="15">
        <v>43964.0</v>
      </c>
      <c r="B215" s="8" t="s">
        <v>23</v>
      </c>
      <c r="C215" s="8">
        <v>54.0</v>
      </c>
      <c r="D215" s="8">
        <v>11522.0</v>
      </c>
      <c r="E215" s="8">
        <v>10803.0</v>
      </c>
    </row>
    <row r="216" ht="14.25" customHeight="1">
      <c r="A216" s="15">
        <v>43964.0</v>
      </c>
      <c r="B216" s="8" t="s">
        <v>22</v>
      </c>
      <c r="C216" s="8">
        <v>60.0</v>
      </c>
      <c r="D216" s="8">
        <v>12007.0</v>
      </c>
      <c r="E216" s="8">
        <v>11245.0</v>
      </c>
    </row>
    <row r="217" ht="14.25" customHeight="1">
      <c r="A217" s="15">
        <v>43964.0</v>
      </c>
      <c r="B217" s="8" t="s">
        <v>14</v>
      </c>
      <c r="C217" s="8">
        <v>19.0</v>
      </c>
      <c r="D217" s="8">
        <v>1625.0</v>
      </c>
      <c r="E217" s="8">
        <v>1444.0</v>
      </c>
    </row>
    <row r="218" ht="14.25" customHeight="1">
      <c r="A218" s="15">
        <v>43964.0</v>
      </c>
      <c r="B218" s="8" t="s">
        <v>24</v>
      </c>
      <c r="C218" s="8">
        <v>15.0</v>
      </c>
      <c r="D218" s="8">
        <v>854.0</v>
      </c>
      <c r="E218" s="8">
        <v>756.0</v>
      </c>
    </row>
    <row r="219" ht="14.25" customHeight="1">
      <c r="A219" s="15">
        <v>43964.0</v>
      </c>
      <c r="B219" s="8" t="s">
        <v>19</v>
      </c>
      <c r="C219" s="8">
        <v>15.0</v>
      </c>
      <c r="D219" s="8">
        <v>898.0</v>
      </c>
      <c r="E219" s="8">
        <v>795.0</v>
      </c>
    </row>
    <row r="220" ht="14.25" customHeight="1">
      <c r="A220" s="15">
        <v>43964.0</v>
      </c>
      <c r="B220" s="8" t="s">
        <v>20</v>
      </c>
      <c r="C220" s="8">
        <v>15.0</v>
      </c>
      <c r="D220" s="8">
        <v>599.0</v>
      </c>
      <c r="E220" s="8">
        <v>515.0</v>
      </c>
    </row>
    <row r="221" ht="14.25" customHeight="1">
      <c r="A221" s="15">
        <v>43964.0</v>
      </c>
      <c r="B221" s="8" t="s">
        <v>16</v>
      </c>
      <c r="C221" s="8">
        <v>125.0</v>
      </c>
      <c r="D221" s="8">
        <v>19965.0</v>
      </c>
      <c r="E221" s="8">
        <v>18573.0</v>
      </c>
    </row>
    <row r="222" ht="14.25" customHeight="1">
      <c r="A222" s="15">
        <v>43964.0</v>
      </c>
      <c r="B222" s="8" t="s">
        <v>15</v>
      </c>
      <c r="C222" s="8">
        <v>129.0</v>
      </c>
      <c r="D222" s="8">
        <v>15304.0</v>
      </c>
      <c r="E222" s="8">
        <v>14315.0</v>
      </c>
    </row>
    <row r="223" ht="14.25" customHeight="1">
      <c r="A223" s="15">
        <v>43964.0</v>
      </c>
      <c r="B223" s="8" t="s">
        <v>13</v>
      </c>
      <c r="C223" s="8">
        <v>10.0</v>
      </c>
      <c r="D223" s="8">
        <v>612.0</v>
      </c>
      <c r="E223" s="8">
        <v>530.0</v>
      </c>
    </row>
    <row r="224" ht="14.25" customHeight="1">
      <c r="A224" s="15">
        <v>43965.0</v>
      </c>
      <c r="B224" s="8" t="s">
        <v>17</v>
      </c>
      <c r="C224" s="8">
        <v>36.0</v>
      </c>
      <c r="D224" s="8">
        <v>4285.0</v>
      </c>
      <c r="E224" s="8">
        <v>3950.0</v>
      </c>
    </row>
    <row r="225" ht="14.25" customHeight="1">
      <c r="A225" s="15">
        <v>43965.0</v>
      </c>
      <c r="B225" s="8" t="s">
        <v>12</v>
      </c>
      <c r="C225" s="8">
        <v>31.0</v>
      </c>
      <c r="D225" s="8">
        <v>4695.0</v>
      </c>
      <c r="E225" s="8">
        <v>4372.0</v>
      </c>
    </row>
    <row r="226" ht="14.25" customHeight="1">
      <c r="A226" s="15">
        <v>43965.0</v>
      </c>
      <c r="B226" s="8" t="s">
        <v>18</v>
      </c>
      <c r="C226" s="8">
        <v>21.0</v>
      </c>
      <c r="D226" s="8">
        <v>1993.0</v>
      </c>
      <c r="E226" s="8">
        <v>1796.0</v>
      </c>
    </row>
    <row r="227" ht="14.25" customHeight="1">
      <c r="A227" s="15">
        <v>43965.0</v>
      </c>
      <c r="B227" s="8" t="s">
        <v>11</v>
      </c>
      <c r="C227" s="8">
        <v>21.0</v>
      </c>
      <c r="D227" s="8">
        <v>1706.0</v>
      </c>
      <c r="E227" s="8">
        <v>1548.0</v>
      </c>
    </row>
    <row r="228" ht="14.25" customHeight="1">
      <c r="A228" s="15">
        <v>43965.0</v>
      </c>
      <c r="B228" s="8" t="s">
        <v>21</v>
      </c>
      <c r="C228" s="8">
        <v>19.0</v>
      </c>
      <c r="D228" s="8">
        <v>1635.0</v>
      </c>
      <c r="E228" s="8">
        <v>1487.0</v>
      </c>
    </row>
    <row r="229" ht="14.25" customHeight="1">
      <c r="A229" s="15">
        <v>43965.0</v>
      </c>
      <c r="B229" s="8" t="s">
        <v>23</v>
      </c>
      <c r="C229" s="8">
        <v>54.0</v>
      </c>
      <c r="D229" s="8">
        <v>11194.0</v>
      </c>
      <c r="E229" s="8">
        <v>10554.0</v>
      </c>
    </row>
    <row r="230" ht="14.25" customHeight="1">
      <c r="A230" s="15">
        <v>43965.0</v>
      </c>
      <c r="B230" s="8" t="s">
        <v>22</v>
      </c>
      <c r="C230" s="8">
        <v>60.0</v>
      </c>
      <c r="D230" s="8">
        <v>11935.0</v>
      </c>
      <c r="E230" s="8">
        <v>11178.0</v>
      </c>
    </row>
    <row r="231" ht="14.25" customHeight="1">
      <c r="A231" s="15">
        <v>43965.0</v>
      </c>
      <c r="B231" s="8" t="s">
        <v>14</v>
      </c>
      <c r="C231" s="8">
        <v>19.0</v>
      </c>
      <c r="D231" s="8">
        <v>1675.0</v>
      </c>
      <c r="E231" s="8">
        <v>1475.0</v>
      </c>
    </row>
    <row r="232" ht="14.25" customHeight="1">
      <c r="A232" s="15">
        <v>43965.0</v>
      </c>
      <c r="B232" s="8" t="s">
        <v>24</v>
      </c>
      <c r="C232" s="8">
        <v>16.0</v>
      </c>
      <c r="D232" s="8">
        <v>834.0</v>
      </c>
      <c r="E232" s="8">
        <v>735.0</v>
      </c>
    </row>
    <row r="233" ht="14.25" customHeight="1">
      <c r="A233" s="15">
        <v>43965.0</v>
      </c>
      <c r="B233" s="8" t="s">
        <v>19</v>
      </c>
      <c r="C233" s="8">
        <v>15.0</v>
      </c>
      <c r="D233" s="8">
        <v>890.0</v>
      </c>
      <c r="E233" s="8">
        <v>777.0</v>
      </c>
    </row>
    <row r="234" ht="14.25" customHeight="1">
      <c r="A234" s="15">
        <v>43965.0</v>
      </c>
      <c r="B234" s="8" t="s">
        <v>20</v>
      </c>
      <c r="C234" s="8">
        <v>15.0</v>
      </c>
      <c r="D234" s="8">
        <v>638.0</v>
      </c>
      <c r="E234" s="8">
        <v>548.0</v>
      </c>
    </row>
    <row r="235" ht="14.25" customHeight="1">
      <c r="A235" s="15">
        <v>43965.0</v>
      </c>
      <c r="B235" s="8" t="s">
        <v>16</v>
      </c>
      <c r="C235" s="8">
        <v>125.0</v>
      </c>
      <c r="D235" s="8">
        <v>20247.0</v>
      </c>
      <c r="E235" s="8">
        <v>18812.0</v>
      </c>
    </row>
    <row r="236" ht="14.25" customHeight="1">
      <c r="A236" s="15">
        <v>43965.0</v>
      </c>
      <c r="B236" s="8" t="s">
        <v>15</v>
      </c>
      <c r="C236" s="8">
        <v>129.0</v>
      </c>
      <c r="D236" s="8">
        <v>15804.0</v>
      </c>
      <c r="E236" s="8">
        <v>14738.0</v>
      </c>
    </row>
    <row r="237" ht="14.25" customHeight="1">
      <c r="A237" s="15">
        <v>43965.0</v>
      </c>
      <c r="B237" s="8" t="s">
        <v>13</v>
      </c>
      <c r="C237" s="8">
        <v>10.0</v>
      </c>
      <c r="D237" s="8">
        <v>627.0</v>
      </c>
      <c r="E237" s="8">
        <v>545.0</v>
      </c>
    </row>
    <row r="238" ht="14.25" customHeight="1">
      <c r="A238" s="15">
        <v>43966.0</v>
      </c>
      <c r="B238" s="8" t="s">
        <v>17</v>
      </c>
      <c r="C238" s="8">
        <v>36.0</v>
      </c>
      <c r="D238" s="8">
        <v>4862.0</v>
      </c>
      <c r="E238" s="8">
        <v>4476.0</v>
      </c>
    </row>
    <row r="239" ht="14.25" customHeight="1">
      <c r="A239" s="15">
        <v>43966.0</v>
      </c>
      <c r="B239" s="8" t="s">
        <v>12</v>
      </c>
      <c r="C239" s="8">
        <v>31.0</v>
      </c>
      <c r="D239" s="8">
        <v>5184.0</v>
      </c>
      <c r="E239" s="8">
        <v>4778.0</v>
      </c>
    </row>
    <row r="240" ht="14.25" customHeight="1">
      <c r="A240" s="15">
        <v>43966.0</v>
      </c>
      <c r="B240" s="8" t="s">
        <v>18</v>
      </c>
      <c r="C240" s="8">
        <v>21.0</v>
      </c>
      <c r="D240" s="8">
        <v>2255.0</v>
      </c>
      <c r="E240" s="8">
        <v>2045.0</v>
      </c>
    </row>
    <row r="241" ht="14.25" customHeight="1">
      <c r="A241" s="15">
        <v>43966.0</v>
      </c>
      <c r="B241" s="8" t="s">
        <v>11</v>
      </c>
      <c r="C241" s="8">
        <v>21.0</v>
      </c>
      <c r="D241" s="8">
        <v>1926.0</v>
      </c>
      <c r="E241" s="8">
        <v>1742.0</v>
      </c>
    </row>
    <row r="242" ht="14.25" customHeight="1">
      <c r="A242" s="15">
        <v>43966.0</v>
      </c>
      <c r="B242" s="8" t="s">
        <v>21</v>
      </c>
      <c r="C242" s="8">
        <v>19.0</v>
      </c>
      <c r="D242" s="8">
        <v>1780.0</v>
      </c>
      <c r="E242" s="8">
        <v>1615.0</v>
      </c>
    </row>
    <row r="243" ht="14.25" customHeight="1">
      <c r="A243" s="15">
        <v>43966.0</v>
      </c>
      <c r="B243" s="8" t="s">
        <v>23</v>
      </c>
      <c r="C243" s="8">
        <v>54.0</v>
      </c>
      <c r="D243" s="8">
        <v>12791.0</v>
      </c>
      <c r="E243" s="8">
        <v>11950.0</v>
      </c>
    </row>
    <row r="244" ht="14.25" customHeight="1">
      <c r="A244" s="15">
        <v>43966.0</v>
      </c>
      <c r="B244" s="8" t="s">
        <v>22</v>
      </c>
      <c r="C244" s="8">
        <v>60.0</v>
      </c>
      <c r="D244" s="8">
        <v>13544.0</v>
      </c>
      <c r="E244" s="8">
        <v>12643.0</v>
      </c>
    </row>
    <row r="245" ht="14.25" customHeight="1">
      <c r="A245" s="15">
        <v>43966.0</v>
      </c>
      <c r="B245" s="8" t="s">
        <v>14</v>
      </c>
      <c r="C245" s="8">
        <v>19.0</v>
      </c>
      <c r="D245" s="8">
        <v>1940.0</v>
      </c>
      <c r="E245" s="8">
        <v>1715.0</v>
      </c>
    </row>
    <row r="246" ht="14.25" customHeight="1">
      <c r="A246" s="15">
        <v>43966.0</v>
      </c>
      <c r="B246" s="8" t="s">
        <v>24</v>
      </c>
      <c r="C246" s="8">
        <v>16.0</v>
      </c>
      <c r="D246" s="8">
        <v>817.0</v>
      </c>
      <c r="E246" s="8">
        <v>718.0</v>
      </c>
    </row>
    <row r="247" ht="14.25" customHeight="1">
      <c r="A247" s="15">
        <v>43966.0</v>
      </c>
      <c r="B247" s="8" t="s">
        <v>19</v>
      </c>
      <c r="C247" s="8">
        <v>15.0</v>
      </c>
      <c r="D247" s="8">
        <v>980.0</v>
      </c>
      <c r="E247" s="8">
        <v>867.0</v>
      </c>
    </row>
    <row r="248" ht="14.25" customHeight="1">
      <c r="A248" s="15">
        <v>43966.0</v>
      </c>
      <c r="B248" s="8" t="s">
        <v>20</v>
      </c>
      <c r="C248" s="8">
        <v>15.0</v>
      </c>
      <c r="D248" s="8">
        <v>688.0</v>
      </c>
      <c r="E248" s="8">
        <v>598.0</v>
      </c>
    </row>
    <row r="249" ht="14.25" customHeight="1">
      <c r="A249" s="15">
        <v>43966.0</v>
      </c>
      <c r="B249" s="8" t="s">
        <v>16</v>
      </c>
      <c r="C249" s="8">
        <v>125.0</v>
      </c>
      <c r="D249" s="8">
        <v>21862.0</v>
      </c>
      <c r="E249" s="8">
        <v>20235.0</v>
      </c>
    </row>
    <row r="250" ht="14.25" customHeight="1">
      <c r="A250" s="15">
        <v>43966.0</v>
      </c>
      <c r="B250" s="8" t="s">
        <v>15</v>
      </c>
      <c r="C250" s="8">
        <v>129.0</v>
      </c>
      <c r="D250" s="8">
        <v>17808.0</v>
      </c>
      <c r="E250" s="8">
        <v>16486.0</v>
      </c>
    </row>
    <row r="251" ht="14.25" customHeight="1">
      <c r="A251" s="15">
        <v>43966.0</v>
      </c>
      <c r="B251" s="8" t="s">
        <v>13</v>
      </c>
      <c r="C251" s="8">
        <v>10.0</v>
      </c>
      <c r="D251" s="8">
        <v>743.0</v>
      </c>
      <c r="E251" s="8">
        <v>652.0</v>
      </c>
    </row>
    <row r="252" ht="14.25" customHeight="1">
      <c r="A252" s="15">
        <v>43967.0</v>
      </c>
      <c r="B252" s="8" t="s">
        <v>17</v>
      </c>
      <c r="C252" s="8">
        <v>36.0</v>
      </c>
      <c r="D252" s="8">
        <v>5286.0</v>
      </c>
      <c r="E252" s="8">
        <v>4867.0</v>
      </c>
    </row>
    <row r="253" ht="14.25" customHeight="1">
      <c r="A253" s="15">
        <v>43967.0</v>
      </c>
      <c r="B253" s="8" t="s">
        <v>12</v>
      </c>
      <c r="C253" s="8">
        <v>31.0</v>
      </c>
      <c r="D253" s="8">
        <v>5593.0</v>
      </c>
      <c r="E253" s="8">
        <v>5177.0</v>
      </c>
    </row>
    <row r="254" ht="14.25" customHeight="1">
      <c r="A254" s="15">
        <v>43967.0</v>
      </c>
      <c r="B254" s="8" t="s">
        <v>18</v>
      </c>
      <c r="C254" s="8">
        <v>21.0</v>
      </c>
      <c r="D254" s="8">
        <v>2427.0</v>
      </c>
      <c r="E254" s="8">
        <v>2213.0</v>
      </c>
    </row>
    <row r="255" ht="14.25" customHeight="1">
      <c r="A255" s="15">
        <v>43967.0</v>
      </c>
      <c r="B255" s="8" t="s">
        <v>11</v>
      </c>
      <c r="C255" s="8">
        <v>21.0</v>
      </c>
      <c r="D255" s="8">
        <v>2145.0</v>
      </c>
      <c r="E255" s="8">
        <v>1947.0</v>
      </c>
    </row>
    <row r="256" ht="14.25" customHeight="1">
      <c r="A256" s="15">
        <v>43967.0</v>
      </c>
      <c r="B256" s="8" t="s">
        <v>21</v>
      </c>
      <c r="C256" s="8">
        <v>19.0</v>
      </c>
      <c r="D256" s="8">
        <v>2039.0</v>
      </c>
      <c r="E256" s="8">
        <v>1868.0</v>
      </c>
    </row>
    <row r="257" ht="14.25" customHeight="1">
      <c r="A257" s="15">
        <v>43967.0</v>
      </c>
      <c r="B257" s="8" t="s">
        <v>23</v>
      </c>
      <c r="C257" s="8">
        <v>54.0</v>
      </c>
      <c r="D257" s="8">
        <v>13170.0</v>
      </c>
      <c r="E257" s="8">
        <v>12299.0</v>
      </c>
    </row>
    <row r="258" ht="14.25" customHeight="1">
      <c r="A258" s="15">
        <v>43967.0</v>
      </c>
      <c r="B258" s="8" t="s">
        <v>22</v>
      </c>
      <c r="C258" s="8">
        <v>60.0</v>
      </c>
      <c r="D258" s="8">
        <v>14049.0</v>
      </c>
      <c r="E258" s="8">
        <v>13118.0</v>
      </c>
    </row>
    <row r="259" ht="14.25" customHeight="1">
      <c r="A259" s="15">
        <v>43967.0</v>
      </c>
      <c r="B259" s="8" t="s">
        <v>14</v>
      </c>
      <c r="C259" s="8">
        <v>19.0</v>
      </c>
      <c r="D259" s="8">
        <v>2080.0</v>
      </c>
      <c r="E259" s="8">
        <v>1844.0</v>
      </c>
    </row>
    <row r="260" ht="14.25" customHeight="1">
      <c r="A260" s="15">
        <v>43967.0</v>
      </c>
      <c r="B260" s="8" t="s">
        <v>24</v>
      </c>
      <c r="C260" s="8">
        <v>16.0</v>
      </c>
      <c r="D260" s="8">
        <v>920.0</v>
      </c>
      <c r="E260" s="8">
        <v>818.0</v>
      </c>
    </row>
    <row r="261" ht="14.25" customHeight="1">
      <c r="A261" s="15">
        <v>43967.0</v>
      </c>
      <c r="B261" s="8" t="s">
        <v>19</v>
      </c>
      <c r="C261" s="8">
        <v>15.0</v>
      </c>
      <c r="D261" s="8">
        <v>1111.0</v>
      </c>
      <c r="E261" s="8">
        <v>992.0</v>
      </c>
    </row>
    <row r="262" ht="14.25" customHeight="1">
      <c r="A262" s="15">
        <v>43967.0</v>
      </c>
      <c r="B262" s="8" t="s">
        <v>20</v>
      </c>
      <c r="C262" s="8">
        <v>15.0</v>
      </c>
      <c r="D262" s="8">
        <v>747.0</v>
      </c>
      <c r="E262" s="8">
        <v>647.0</v>
      </c>
    </row>
    <row r="263" ht="14.25" customHeight="1">
      <c r="A263" s="15">
        <v>43967.0</v>
      </c>
      <c r="B263" s="8" t="s">
        <v>16</v>
      </c>
      <c r="C263" s="8">
        <v>125.0</v>
      </c>
      <c r="D263" s="8">
        <v>22291.0</v>
      </c>
      <c r="E263" s="8">
        <v>20635.0</v>
      </c>
    </row>
    <row r="264" ht="14.25" customHeight="1">
      <c r="A264" s="15">
        <v>43967.0</v>
      </c>
      <c r="B264" s="8" t="s">
        <v>15</v>
      </c>
      <c r="C264" s="8">
        <v>129.0</v>
      </c>
      <c r="D264" s="8">
        <v>17914.0</v>
      </c>
      <c r="E264" s="8">
        <v>16631.0</v>
      </c>
    </row>
    <row r="265" ht="14.25" customHeight="1">
      <c r="A265" s="15">
        <v>43967.0</v>
      </c>
      <c r="B265" s="8" t="s">
        <v>13</v>
      </c>
      <c r="C265" s="8">
        <v>10.0</v>
      </c>
      <c r="D265" s="8">
        <v>760.0</v>
      </c>
      <c r="E265" s="8">
        <v>672.0</v>
      </c>
    </row>
    <row r="266" ht="14.25" customHeight="1">
      <c r="A266" s="15">
        <v>43968.0</v>
      </c>
      <c r="B266" s="8" t="s">
        <v>17</v>
      </c>
      <c r="C266" s="8">
        <v>36.0</v>
      </c>
      <c r="D266" s="8">
        <v>4918.0</v>
      </c>
      <c r="E266" s="8">
        <v>4554.0</v>
      </c>
    </row>
    <row r="267" ht="14.25" customHeight="1">
      <c r="A267" s="15">
        <v>43968.0</v>
      </c>
      <c r="B267" s="8" t="s">
        <v>12</v>
      </c>
      <c r="C267" s="8">
        <v>31.0</v>
      </c>
      <c r="D267" s="8">
        <v>5206.0</v>
      </c>
      <c r="E267" s="8">
        <v>4843.0</v>
      </c>
    </row>
    <row r="268" ht="14.25" customHeight="1">
      <c r="A268" s="15">
        <v>43968.0</v>
      </c>
      <c r="B268" s="8" t="s">
        <v>18</v>
      </c>
      <c r="C268" s="8">
        <v>21.0</v>
      </c>
      <c r="D268" s="8">
        <v>2054.0</v>
      </c>
      <c r="E268" s="8">
        <v>1883.0</v>
      </c>
    </row>
    <row r="269" ht="14.25" customHeight="1">
      <c r="A269" s="15">
        <v>43968.0</v>
      </c>
      <c r="B269" s="8" t="s">
        <v>11</v>
      </c>
      <c r="C269" s="8">
        <v>21.0</v>
      </c>
      <c r="D269" s="8">
        <v>1874.0</v>
      </c>
      <c r="E269" s="8">
        <v>1705.0</v>
      </c>
    </row>
    <row r="270" ht="14.25" customHeight="1">
      <c r="A270" s="15">
        <v>43968.0</v>
      </c>
      <c r="B270" s="8" t="s">
        <v>21</v>
      </c>
      <c r="C270" s="8">
        <v>19.0</v>
      </c>
      <c r="D270" s="8">
        <v>1790.0</v>
      </c>
      <c r="E270" s="8">
        <v>1633.0</v>
      </c>
    </row>
    <row r="271" ht="14.25" customHeight="1">
      <c r="A271" s="15">
        <v>43968.0</v>
      </c>
      <c r="B271" s="8" t="s">
        <v>23</v>
      </c>
      <c r="C271" s="8">
        <v>54.0</v>
      </c>
      <c r="D271" s="8">
        <v>11128.0</v>
      </c>
      <c r="E271" s="8">
        <v>10467.0</v>
      </c>
    </row>
    <row r="272" ht="14.25" customHeight="1">
      <c r="A272" s="15">
        <v>43968.0</v>
      </c>
      <c r="B272" s="8" t="s">
        <v>22</v>
      </c>
      <c r="C272" s="8">
        <v>60.0</v>
      </c>
      <c r="D272" s="8">
        <v>11698.0</v>
      </c>
      <c r="E272" s="8">
        <v>10989.0</v>
      </c>
    </row>
    <row r="273" ht="14.25" customHeight="1">
      <c r="A273" s="15">
        <v>43968.0</v>
      </c>
      <c r="B273" s="8" t="s">
        <v>14</v>
      </c>
      <c r="C273" s="8">
        <v>19.0</v>
      </c>
      <c r="D273" s="8">
        <v>1871.0</v>
      </c>
      <c r="E273" s="8">
        <v>1660.0</v>
      </c>
    </row>
    <row r="274" ht="14.25" customHeight="1">
      <c r="A274" s="15">
        <v>43968.0</v>
      </c>
      <c r="B274" s="8" t="s">
        <v>24</v>
      </c>
      <c r="C274" s="8">
        <v>16.0</v>
      </c>
      <c r="D274" s="8">
        <v>859.0</v>
      </c>
      <c r="E274" s="8">
        <v>746.0</v>
      </c>
    </row>
    <row r="275" ht="14.25" customHeight="1">
      <c r="A275" s="15">
        <v>43968.0</v>
      </c>
      <c r="B275" s="8" t="s">
        <v>19</v>
      </c>
      <c r="C275" s="8">
        <v>15.0</v>
      </c>
      <c r="D275" s="8">
        <v>971.0</v>
      </c>
      <c r="E275" s="8">
        <v>856.0</v>
      </c>
    </row>
    <row r="276" ht="14.25" customHeight="1">
      <c r="A276" s="15">
        <v>43968.0</v>
      </c>
      <c r="B276" s="8" t="s">
        <v>20</v>
      </c>
      <c r="C276" s="8">
        <v>15.0</v>
      </c>
      <c r="D276" s="8">
        <v>692.0</v>
      </c>
      <c r="E276" s="8">
        <v>591.0</v>
      </c>
    </row>
    <row r="277" ht="14.25" customHeight="1">
      <c r="A277" s="15">
        <v>43968.0</v>
      </c>
      <c r="B277" s="8" t="s">
        <v>16</v>
      </c>
      <c r="C277" s="8">
        <v>125.0</v>
      </c>
      <c r="D277" s="8">
        <v>20079.0</v>
      </c>
      <c r="E277" s="8">
        <v>18721.0</v>
      </c>
    </row>
    <row r="278" ht="14.25" customHeight="1">
      <c r="A278" s="15">
        <v>43968.0</v>
      </c>
      <c r="B278" s="8" t="s">
        <v>15</v>
      </c>
      <c r="C278" s="8">
        <v>129.0</v>
      </c>
      <c r="D278" s="8">
        <v>15744.0</v>
      </c>
      <c r="E278" s="8">
        <v>14685.0</v>
      </c>
    </row>
    <row r="279" ht="14.25" customHeight="1">
      <c r="A279" s="15">
        <v>43968.0</v>
      </c>
      <c r="B279" s="8" t="s">
        <v>13</v>
      </c>
      <c r="C279" s="8">
        <v>10.0</v>
      </c>
      <c r="D279" s="8">
        <v>591.0</v>
      </c>
      <c r="E279" s="8">
        <v>513.0</v>
      </c>
    </row>
    <row r="280" ht="14.25" customHeight="1">
      <c r="A280" s="15">
        <v>43969.0</v>
      </c>
      <c r="B280" s="8" t="s">
        <v>17</v>
      </c>
      <c r="C280" s="8">
        <v>36.0</v>
      </c>
      <c r="D280" s="8">
        <v>4885.0</v>
      </c>
      <c r="E280" s="8">
        <v>4502.0</v>
      </c>
    </row>
    <row r="281" ht="14.25" customHeight="1">
      <c r="A281" s="15">
        <v>43969.0</v>
      </c>
      <c r="B281" s="8" t="s">
        <v>12</v>
      </c>
      <c r="C281" s="8">
        <v>31.0</v>
      </c>
      <c r="D281" s="8">
        <v>5165.0</v>
      </c>
      <c r="E281" s="8">
        <v>4813.0</v>
      </c>
    </row>
    <row r="282" ht="14.25" customHeight="1">
      <c r="A282" s="15">
        <v>43969.0</v>
      </c>
      <c r="B282" s="8" t="s">
        <v>18</v>
      </c>
      <c r="C282" s="8">
        <v>21.0</v>
      </c>
      <c r="D282" s="8">
        <v>2136.0</v>
      </c>
      <c r="E282" s="8">
        <v>1947.0</v>
      </c>
    </row>
    <row r="283" ht="14.25" customHeight="1">
      <c r="A283" s="15">
        <v>43969.0</v>
      </c>
      <c r="B283" s="8" t="s">
        <v>11</v>
      </c>
      <c r="C283" s="8">
        <v>21.0</v>
      </c>
      <c r="D283" s="8">
        <v>1834.0</v>
      </c>
      <c r="E283" s="8">
        <v>1660.0</v>
      </c>
    </row>
    <row r="284" ht="14.25" customHeight="1">
      <c r="A284" s="15">
        <v>43969.0</v>
      </c>
      <c r="B284" s="8" t="s">
        <v>21</v>
      </c>
      <c r="C284" s="8">
        <v>19.0</v>
      </c>
      <c r="D284" s="8">
        <v>1741.0</v>
      </c>
      <c r="E284" s="8">
        <v>1597.0</v>
      </c>
    </row>
    <row r="285" ht="14.25" customHeight="1">
      <c r="A285" s="15">
        <v>43969.0</v>
      </c>
      <c r="B285" s="8" t="s">
        <v>23</v>
      </c>
      <c r="C285" s="8">
        <v>54.0</v>
      </c>
      <c r="D285" s="8">
        <v>12012.0</v>
      </c>
      <c r="E285" s="8">
        <v>11308.0</v>
      </c>
    </row>
    <row r="286" ht="14.25" customHeight="1">
      <c r="A286" s="15">
        <v>43969.0</v>
      </c>
      <c r="B286" s="8" t="s">
        <v>22</v>
      </c>
      <c r="C286" s="8">
        <v>60.0</v>
      </c>
      <c r="D286" s="8">
        <v>12460.0</v>
      </c>
      <c r="E286" s="8">
        <v>11665.0</v>
      </c>
    </row>
    <row r="287" ht="14.25" customHeight="1">
      <c r="A287" s="15">
        <v>43969.0</v>
      </c>
      <c r="B287" s="8" t="s">
        <v>14</v>
      </c>
      <c r="C287" s="8">
        <v>19.0</v>
      </c>
      <c r="D287" s="8">
        <v>1858.0</v>
      </c>
      <c r="E287" s="8">
        <v>1648.0</v>
      </c>
    </row>
    <row r="288" ht="14.25" customHeight="1">
      <c r="A288" s="15">
        <v>43969.0</v>
      </c>
      <c r="B288" s="8" t="s">
        <v>24</v>
      </c>
      <c r="C288" s="8">
        <v>16.0</v>
      </c>
      <c r="D288" s="8">
        <v>864.0</v>
      </c>
      <c r="E288" s="8">
        <v>765.0</v>
      </c>
    </row>
    <row r="289" ht="14.25" customHeight="1">
      <c r="A289" s="15">
        <v>43969.0</v>
      </c>
      <c r="B289" s="8" t="s">
        <v>19</v>
      </c>
      <c r="C289" s="8">
        <v>16.0</v>
      </c>
      <c r="D289" s="8">
        <v>925.0</v>
      </c>
      <c r="E289" s="8">
        <v>816.0</v>
      </c>
    </row>
    <row r="290" ht="14.25" customHeight="1">
      <c r="A290" s="15">
        <v>43969.0</v>
      </c>
      <c r="B290" s="8" t="s">
        <v>20</v>
      </c>
      <c r="C290" s="8">
        <v>15.0</v>
      </c>
      <c r="D290" s="8">
        <v>729.0</v>
      </c>
      <c r="E290" s="8">
        <v>636.0</v>
      </c>
    </row>
    <row r="291" ht="14.25" customHeight="1">
      <c r="A291" s="15">
        <v>43969.0</v>
      </c>
      <c r="B291" s="8" t="s">
        <v>16</v>
      </c>
      <c r="C291" s="8">
        <v>125.0</v>
      </c>
      <c r="D291" s="8">
        <v>20449.0</v>
      </c>
      <c r="E291" s="8">
        <v>19060.0</v>
      </c>
    </row>
    <row r="292" ht="14.25" customHeight="1">
      <c r="A292" s="15">
        <v>43969.0</v>
      </c>
      <c r="B292" s="8" t="s">
        <v>15</v>
      </c>
      <c r="C292" s="8">
        <v>129.0</v>
      </c>
      <c r="D292" s="8">
        <v>16110.0</v>
      </c>
      <c r="E292" s="8">
        <v>14992.0</v>
      </c>
    </row>
    <row r="293" ht="14.25" customHeight="1">
      <c r="A293" s="15">
        <v>43969.0</v>
      </c>
      <c r="B293" s="8" t="s">
        <v>13</v>
      </c>
      <c r="C293" s="8">
        <v>10.0</v>
      </c>
      <c r="D293" s="8">
        <v>645.0</v>
      </c>
      <c r="E293" s="8">
        <v>565.0</v>
      </c>
    </row>
    <row r="294" ht="14.25" customHeight="1">
      <c r="A294" s="15">
        <v>43970.0</v>
      </c>
      <c r="B294" s="8" t="s">
        <v>17</v>
      </c>
      <c r="C294" s="8">
        <v>36.0</v>
      </c>
      <c r="D294" s="8">
        <v>5094.0</v>
      </c>
      <c r="E294" s="8">
        <v>4716.0</v>
      </c>
    </row>
    <row r="295" ht="14.25" customHeight="1">
      <c r="A295" s="15">
        <v>43970.0</v>
      </c>
      <c r="B295" s="8" t="s">
        <v>12</v>
      </c>
      <c r="C295" s="8">
        <v>31.0</v>
      </c>
      <c r="D295" s="8">
        <v>5389.0</v>
      </c>
      <c r="E295" s="8">
        <v>5024.0</v>
      </c>
    </row>
    <row r="296" ht="14.25" customHeight="1">
      <c r="A296" s="15">
        <v>43970.0</v>
      </c>
      <c r="B296" s="8" t="s">
        <v>18</v>
      </c>
      <c r="C296" s="8">
        <v>21.0</v>
      </c>
      <c r="D296" s="8">
        <v>2245.0</v>
      </c>
      <c r="E296" s="8">
        <v>2053.0</v>
      </c>
    </row>
    <row r="297" ht="14.25" customHeight="1">
      <c r="A297" s="15">
        <v>43970.0</v>
      </c>
      <c r="B297" s="8" t="s">
        <v>11</v>
      </c>
      <c r="C297" s="8">
        <v>21.0</v>
      </c>
      <c r="D297" s="8">
        <v>1860.0</v>
      </c>
      <c r="E297" s="8">
        <v>1704.0</v>
      </c>
    </row>
    <row r="298" ht="14.25" customHeight="1">
      <c r="A298" s="15">
        <v>43970.0</v>
      </c>
      <c r="B298" s="8" t="s">
        <v>21</v>
      </c>
      <c r="C298" s="8">
        <v>19.0</v>
      </c>
      <c r="D298" s="8">
        <v>1831.0</v>
      </c>
      <c r="E298" s="8">
        <v>1667.0</v>
      </c>
    </row>
    <row r="299" ht="14.25" customHeight="1">
      <c r="A299" s="15">
        <v>43970.0</v>
      </c>
      <c r="B299" s="8" t="s">
        <v>23</v>
      </c>
      <c r="C299" s="8">
        <v>54.0</v>
      </c>
      <c r="D299" s="8">
        <v>13070.0</v>
      </c>
      <c r="E299" s="8">
        <v>12244.0</v>
      </c>
    </row>
    <row r="300" ht="14.25" customHeight="1">
      <c r="A300" s="15">
        <v>43970.0</v>
      </c>
      <c r="B300" s="8" t="s">
        <v>22</v>
      </c>
      <c r="C300" s="8">
        <v>60.0</v>
      </c>
      <c r="D300" s="8">
        <v>13867.0</v>
      </c>
      <c r="E300" s="8">
        <v>12987.0</v>
      </c>
    </row>
    <row r="301" ht="14.25" customHeight="1">
      <c r="A301" s="15">
        <v>43970.0</v>
      </c>
      <c r="B301" s="8" t="s">
        <v>14</v>
      </c>
      <c r="C301" s="8">
        <v>19.0</v>
      </c>
      <c r="D301" s="8">
        <v>1999.0</v>
      </c>
      <c r="E301" s="8">
        <v>1799.0</v>
      </c>
    </row>
    <row r="302" ht="14.25" customHeight="1">
      <c r="A302" s="15">
        <v>43970.0</v>
      </c>
      <c r="B302" s="8" t="s">
        <v>24</v>
      </c>
      <c r="C302" s="8">
        <v>17.0</v>
      </c>
      <c r="D302" s="8">
        <v>857.0</v>
      </c>
      <c r="E302" s="8">
        <v>757.0</v>
      </c>
    </row>
    <row r="303" ht="14.25" customHeight="1">
      <c r="A303" s="15">
        <v>43970.0</v>
      </c>
      <c r="B303" s="8" t="s">
        <v>19</v>
      </c>
      <c r="C303" s="8">
        <v>16.0</v>
      </c>
      <c r="D303" s="8">
        <v>1012.0</v>
      </c>
      <c r="E303" s="8">
        <v>900.0</v>
      </c>
    </row>
    <row r="304" ht="14.25" customHeight="1">
      <c r="A304" s="15">
        <v>43970.0</v>
      </c>
      <c r="B304" s="8" t="s">
        <v>20</v>
      </c>
      <c r="C304" s="8">
        <v>15.0</v>
      </c>
      <c r="D304" s="8">
        <v>930.0</v>
      </c>
      <c r="E304" s="8">
        <v>827.0</v>
      </c>
    </row>
    <row r="305" ht="14.25" customHeight="1">
      <c r="A305" s="15">
        <v>43970.0</v>
      </c>
      <c r="B305" s="8" t="s">
        <v>16</v>
      </c>
      <c r="C305" s="8">
        <v>125.0</v>
      </c>
      <c r="D305" s="8">
        <v>20771.0</v>
      </c>
      <c r="E305" s="8">
        <v>19338.0</v>
      </c>
    </row>
    <row r="306" ht="14.25" customHeight="1">
      <c r="A306" s="15">
        <v>43970.0</v>
      </c>
      <c r="B306" s="8" t="s">
        <v>15</v>
      </c>
      <c r="C306" s="8">
        <v>129.0</v>
      </c>
      <c r="D306" s="8">
        <v>16191.0</v>
      </c>
      <c r="E306" s="8">
        <v>15102.0</v>
      </c>
    </row>
    <row r="307" ht="14.25" customHeight="1">
      <c r="A307" s="15">
        <v>43970.0</v>
      </c>
      <c r="B307" s="8" t="s">
        <v>13</v>
      </c>
      <c r="C307" s="8">
        <v>10.0</v>
      </c>
      <c r="D307" s="8">
        <v>649.0</v>
      </c>
      <c r="E307" s="8">
        <v>568.0</v>
      </c>
    </row>
    <row r="308" ht="14.25" customHeight="1">
      <c r="A308" s="15">
        <v>43971.0</v>
      </c>
      <c r="B308" s="8" t="s">
        <v>17</v>
      </c>
      <c r="C308" s="8">
        <v>36.0</v>
      </c>
      <c r="D308" s="8">
        <v>5914.0</v>
      </c>
      <c r="E308" s="8">
        <v>5384.0</v>
      </c>
    </row>
    <row r="309" ht="14.25" customHeight="1">
      <c r="A309" s="15">
        <v>43971.0</v>
      </c>
      <c r="B309" s="8" t="s">
        <v>12</v>
      </c>
      <c r="C309" s="8">
        <v>31.0</v>
      </c>
      <c r="D309" s="8">
        <v>5698.0</v>
      </c>
      <c r="E309" s="8">
        <v>5258.0</v>
      </c>
    </row>
    <row r="310" ht="14.25" customHeight="1">
      <c r="A310" s="15">
        <v>43971.0</v>
      </c>
      <c r="B310" s="8" t="s">
        <v>18</v>
      </c>
      <c r="C310" s="8">
        <v>21.0</v>
      </c>
      <c r="D310" s="8">
        <v>2410.0</v>
      </c>
      <c r="E310" s="8">
        <v>2202.0</v>
      </c>
    </row>
    <row r="311" ht="14.25" customHeight="1">
      <c r="A311" s="15">
        <v>43971.0</v>
      </c>
      <c r="B311" s="8" t="s">
        <v>11</v>
      </c>
      <c r="C311" s="8">
        <v>21.0</v>
      </c>
      <c r="D311" s="8">
        <v>1921.0</v>
      </c>
      <c r="E311" s="8">
        <v>1767.0</v>
      </c>
    </row>
    <row r="312" ht="14.25" customHeight="1">
      <c r="A312" s="15">
        <v>43971.0</v>
      </c>
      <c r="B312" s="8" t="s">
        <v>21</v>
      </c>
      <c r="C312" s="8">
        <v>19.0</v>
      </c>
      <c r="D312" s="8">
        <v>1823.0</v>
      </c>
      <c r="E312" s="8">
        <v>1678.0</v>
      </c>
    </row>
    <row r="313" ht="14.25" customHeight="1">
      <c r="A313" s="15">
        <v>43971.0</v>
      </c>
      <c r="B313" s="8" t="s">
        <v>23</v>
      </c>
      <c r="C313" s="8">
        <v>54.0</v>
      </c>
      <c r="D313" s="8">
        <v>13298.0</v>
      </c>
      <c r="E313" s="8">
        <v>12428.0</v>
      </c>
    </row>
    <row r="314" ht="14.25" customHeight="1">
      <c r="A314" s="15">
        <v>43971.0</v>
      </c>
      <c r="B314" s="8" t="s">
        <v>22</v>
      </c>
      <c r="C314" s="8">
        <v>60.0</v>
      </c>
      <c r="D314" s="8">
        <v>13792.0</v>
      </c>
      <c r="E314" s="8">
        <v>12834.0</v>
      </c>
    </row>
    <row r="315" ht="14.25" customHeight="1">
      <c r="A315" s="15">
        <v>43971.0</v>
      </c>
      <c r="B315" s="8" t="s">
        <v>14</v>
      </c>
      <c r="C315" s="8">
        <v>19.0</v>
      </c>
      <c r="D315" s="8">
        <v>1889.0</v>
      </c>
      <c r="E315" s="8">
        <v>1690.0</v>
      </c>
    </row>
    <row r="316" ht="14.25" customHeight="1">
      <c r="A316" s="15">
        <v>43971.0</v>
      </c>
      <c r="B316" s="8" t="s">
        <v>24</v>
      </c>
      <c r="C316" s="8">
        <v>17.0</v>
      </c>
      <c r="D316" s="8">
        <v>890.0</v>
      </c>
      <c r="E316" s="8">
        <v>794.0</v>
      </c>
    </row>
    <row r="317" ht="14.25" customHeight="1">
      <c r="A317" s="15">
        <v>43971.0</v>
      </c>
      <c r="B317" s="8" t="s">
        <v>19</v>
      </c>
      <c r="C317" s="8">
        <v>16.0</v>
      </c>
      <c r="D317" s="8">
        <v>1050.0</v>
      </c>
      <c r="E317" s="8">
        <v>938.0</v>
      </c>
    </row>
    <row r="318" ht="14.25" customHeight="1">
      <c r="A318" s="15">
        <v>43971.0</v>
      </c>
      <c r="B318" s="8" t="s">
        <v>20</v>
      </c>
      <c r="C318" s="8">
        <v>15.0</v>
      </c>
      <c r="D318" s="8">
        <v>760.0</v>
      </c>
      <c r="E318" s="8">
        <v>664.0</v>
      </c>
    </row>
    <row r="319" ht="14.25" customHeight="1">
      <c r="A319" s="15">
        <v>43971.0</v>
      </c>
      <c r="B319" s="8" t="s">
        <v>16</v>
      </c>
      <c r="C319" s="8">
        <v>125.0</v>
      </c>
      <c r="D319" s="8">
        <v>21674.0</v>
      </c>
      <c r="E319" s="8">
        <v>20155.0</v>
      </c>
    </row>
    <row r="320" ht="14.25" customHeight="1">
      <c r="A320" s="15">
        <v>43971.0</v>
      </c>
      <c r="B320" s="8" t="s">
        <v>15</v>
      </c>
      <c r="C320" s="8">
        <v>129.0</v>
      </c>
      <c r="D320" s="8">
        <v>17095.0</v>
      </c>
      <c r="E320" s="8">
        <v>15919.0</v>
      </c>
    </row>
    <row r="321" ht="14.25" customHeight="1">
      <c r="A321" s="15">
        <v>43971.0</v>
      </c>
      <c r="B321" s="8" t="s">
        <v>13</v>
      </c>
      <c r="C321" s="8">
        <v>10.0</v>
      </c>
      <c r="D321" s="8">
        <v>745.0</v>
      </c>
      <c r="E321" s="8">
        <v>654.0</v>
      </c>
    </row>
    <row r="322" ht="14.25" customHeight="1">
      <c r="A322" s="15">
        <v>43972.0</v>
      </c>
      <c r="B322" s="8" t="s">
        <v>17</v>
      </c>
      <c r="C322" s="8">
        <v>36.0</v>
      </c>
      <c r="D322" s="8">
        <v>4816.0</v>
      </c>
      <c r="E322" s="8">
        <v>4452.0</v>
      </c>
    </row>
    <row r="323" ht="14.25" customHeight="1">
      <c r="A323" s="15">
        <v>43972.0</v>
      </c>
      <c r="B323" s="8" t="s">
        <v>12</v>
      </c>
      <c r="C323" s="8">
        <v>31.0</v>
      </c>
      <c r="D323" s="8">
        <v>5207.0</v>
      </c>
      <c r="E323" s="8">
        <v>4868.0</v>
      </c>
    </row>
    <row r="324" ht="14.25" customHeight="1">
      <c r="A324" s="15">
        <v>43972.0</v>
      </c>
      <c r="B324" s="8" t="s">
        <v>18</v>
      </c>
      <c r="C324" s="8">
        <v>21.0</v>
      </c>
      <c r="D324" s="8">
        <v>2335.0</v>
      </c>
      <c r="E324" s="8">
        <v>2126.0</v>
      </c>
    </row>
    <row r="325" ht="14.25" customHeight="1">
      <c r="A325" s="15">
        <v>43972.0</v>
      </c>
      <c r="B325" s="8" t="s">
        <v>11</v>
      </c>
      <c r="C325" s="8">
        <v>21.0</v>
      </c>
      <c r="D325" s="8">
        <v>1787.0</v>
      </c>
      <c r="E325" s="8">
        <v>1626.0</v>
      </c>
    </row>
    <row r="326" ht="14.25" customHeight="1">
      <c r="A326" s="15">
        <v>43972.0</v>
      </c>
      <c r="B326" s="8" t="s">
        <v>21</v>
      </c>
      <c r="C326" s="8">
        <v>19.0</v>
      </c>
      <c r="D326" s="8">
        <v>1650.0</v>
      </c>
      <c r="E326" s="8">
        <v>1505.0</v>
      </c>
    </row>
    <row r="327" ht="14.25" customHeight="1">
      <c r="A327" s="15">
        <v>43972.0</v>
      </c>
      <c r="B327" s="8" t="s">
        <v>23</v>
      </c>
      <c r="C327" s="8">
        <v>54.0</v>
      </c>
      <c r="D327" s="8">
        <v>13240.0</v>
      </c>
      <c r="E327" s="8">
        <v>12360.0</v>
      </c>
    </row>
    <row r="328" ht="14.25" customHeight="1">
      <c r="A328" s="15">
        <v>43972.0</v>
      </c>
      <c r="B328" s="8" t="s">
        <v>22</v>
      </c>
      <c r="C328" s="8">
        <v>60.0</v>
      </c>
      <c r="D328" s="8">
        <v>14005.0</v>
      </c>
      <c r="E328" s="8">
        <v>13002.0</v>
      </c>
    </row>
    <row r="329" ht="14.25" customHeight="1">
      <c r="A329" s="15">
        <v>43972.0</v>
      </c>
      <c r="B329" s="8" t="s">
        <v>14</v>
      </c>
      <c r="C329" s="8">
        <v>19.0</v>
      </c>
      <c r="D329" s="8">
        <v>1949.0</v>
      </c>
      <c r="E329" s="8">
        <v>1724.0</v>
      </c>
    </row>
    <row r="330" ht="14.25" customHeight="1">
      <c r="A330" s="15">
        <v>43972.0</v>
      </c>
      <c r="B330" s="8" t="s">
        <v>24</v>
      </c>
      <c r="C330" s="8">
        <v>18.0</v>
      </c>
      <c r="D330" s="8">
        <v>888.0</v>
      </c>
      <c r="E330" s="8">
        <v>786.0</v>
      </c>
    </row>
    <row r="331" ht="14.25" customHeight="1">
      <c r="A331" s="15">
        <v>43972.0</v>
      </c>
      <c r="B331" s="8" t="s">
        <v>19</v>
      </c>
      <c r="C331" s="8">
        <v>17.0</v>
      </c>
      <c r="D331" s="8">
        <v>1045.0</v>
      </c>
      <c r="E331" s="8">
        <v>930.0</v>
      </c>
    </row>
    <row r="332" ht="14.25" customHeight="1">
      <c r="A332" s="15">
        <v>43972.0</v>
      </c>
      <c r="B332" s="8" t="s">
        <v>20</v>
      </c>
      <c r="C332" s="8">
        <v>15.0</v>
      </c>
      <c r="D332" s="8">
        <v>749.0</v>
      </c>
      <c r="E332" s="8">
        <v>652.0</v>
      </c>
    </row>
    <row r="333" ht="14.25" customHeight="1">
      <c r="A333" s="15">
        <v>43972.0</v>
      </c>
      <c r="B333" s="8" t="s">
        <v>16</v>
      </c>
      <c r="C333" s="8">
        <v>125.0</v>
      </c>
      <c r="D333" s="8">
        <v>20911.0</v>
      </c>
      <c r="E333" s="8">
        <v>19358.0</v>
      </c>
    </row>
    <row r="334" ht="14.25" customHeight="1">
      <c r="A334" s="15">
        <v>43972.0</v>
      </c>
      <c r="B334" s="8" t="s">
        <v>15</v>
      </c>
      <c r="C334" s="8">
        <v>129.0</v>
      </c>
      <c r="D334" s="8">
        <v>16373.0</v>
      </c>
      <c r="E334" s="8">
        <v>15223.0</v>
      </c>
    </row>
    <row r="335" ht="14.25" customHeight="1">
      <c r="A335" s="15">
        <v>43972.0</v>
      </c>
      <c r="B335" s="8" t="s">
        <v>13</v>
      </c>
      <c r="C335" s="8">
        <v>10.0</v>
      </c>
      <c r="D335" s="8">
        <v>677.0</v>
      </c>
      <c r="E335" s="8">
        <v>591.0</v>
      </c>
    </row>
    <row r="336" ht="14.25" customHeight="1">
      <c r="A336" s="15">
        <v>43973.0</v>
      </c>
      <c r="B336" s="8" t="s">
        <v>17</v>
      </c>
      <c r="C336" s="8">
        <v>36.0</v>
      </c>
      <c r="D336" s="8">
        <v>4857.0</v>
      </c>
      <c r="E336" s="8">
        <v>4456.0</v>
      </c>
    </row>
    <row r="337" ht="14.25" customHeight="1">
      <c r="A337" s="15">
        <v>43973.0</v>
      </c>
      <c r="B337" s="8" t="s">
        <v>12</v>
      </c>
      <c r="C337" s="8">
        <v>31.0</v>
      </c>
      <c r="D337" s="8">
        <v>5965.0</v>
      </c>
      <c r="E337" s="8">
        <v>5533.0</v>
      </c>
    </row>
    <row r="338" ht="14.25" customHeight="1">
      <c r="A338" s="15">
        <v>43973.0</v>
      </c>
      <c r="B338" s="8" t="s">
        <v>18</v>
      </c>
      <c r="C338" s="8">
        <v>21.0</v>
      </c>
      <c r="D338" s="8">
        <v>2861.0</v>
      </c>
      <c r="E338" s="8">
        <v>2612.0</v>
      </c>
    </row>
    <row r="339" ht="14.25" customHeight="1">
      <c r="A339" s="15">
        <v>43973.0</v>
      </c>
      <c r="B339" s="8" t="s">
        <v>11</v>
      </c>
      <c r="C339" s="8">
        <v>21.0</v>
      </c>
      <c r="D339" s="8">
        <v>2046.0</v>
      </c>
      <c r="E339" s="8">
        <v>1853.0</v>
      </c>
    </row>
    <row r="340" ht="14.25" customHeight="1">
      <c r="A340" s="15">
        <v>43973.0</v>
      </c>
      <c r="B340" s="8" t="s">
        <v>21</v>
      </c>
      <c r="C340" s="8">
        <v>19.0</v>
      </c>
      <c r="D340" s="8">
        <v>1859.0</v>
      </c>
      <c r="E340" s="8">
        <v>1697.0</v>
      </c>
    </row>
    <row r="341" ht="14.25" customHeight="1">
      <c r="A341" s="15">
        <v>43973.0</v>
      </c>
      <c r="B341" s="8" t="s">
        <v>23</v>
      </c>
      <c r="C341" s="8">
        <v>54.0</v>
      </c>
      <c r="D341" s="8">
        <v>13014.0</v>
      </c>
      <c r="E341" s="8">
        <v>12095.0</v>
      </c>
    </row>
    <row r="342" ht="14.25" customHeight="1">
      <c r="A342" s="15">
        <v>43973.0</v>
      </c>
      <c r="B342" s="8" t="s">
        <v>22</v>
      </c>
      <c r="C342" s="8">
        <v>60.0</v>
      </c>
      <c r="D342" s="8">
        <v>14050.0</v>
      </c>
      <c r="E342" s="8">
        <v>13027.0</v>
      </c>
    </row>
    <row r="343" ht="14.25" customHeight="1">
      <c r="A343" s="15">
        <v>43973.0</v>
      </c>
      <c r="B343" s="8" t="s">
        <v>14</v>
      </c>
      <c r="C343" s="8">
        <v>20.0</v>
      </c>
      <c r="D343" s="8">
        <v>2306.0</v>
      </c>
      <c r="E343" s="8">
        <v>2054.0</v>
      </c>
    </row>
    <row r="344" ht="14.25" customHeight="1">
      <c r="A344" s="15">
        <v>43973.0</v>
      </c>
      <c r="B344" s="8" t="s">
        <v>24</v>
      </c>
      <c r="C344" s="8">
        <v>18.0</v>
      </c>
      <c r="D344" s="8">
        <v>985.0</v>
      </c>
      <c r="E344" s="8">
        <v>861.0</v>
      </c>
    </row>
    <row r="345" ht="14.25" customHeight="1">
      <c r="A345" s="15">
        <v>43973.0</v>
      </c>
      <c r="B345" s="8" t="s">
        <v>19</v>
      </c>
      <c r="C345" s="8">
        <v>17.0</v>
      </c>
      <c r="D345" s="8">
        <v>1268.0</v>
      </c>
      <c r="E345" s="8">
        <v>1129.0</v>
      </c>
    </row>
    <row r="346" ht="14.25" customHeight="1">
      <c r="A346" s="15">
        <v>43973.0</v>
      </c>
      <c r="B346" s="8" t="s">
        <v>20</v>
      </c>
      <c r="C346" s="8">
        <v>15.0</v>
      </c>
      <c r="D346" s="8">
        <v>903.0</v>
      </c>
      <c r="E346" s="8">
        <v>792.0</v>
      </c>
    </row>
    <row r="347" ht="14.25" customHeight="1">
      <c r="A347" s="15">
        <v>43973.0</v>
      </c>
      <c r="B347" s="8" t="s">
        <v>16</v>
      </c>
      <c r="C347" s="8">
        <v>125.0</v>
      </c>
      <c r="D347" s="8">
        <v>21427.0</v>
      </c>
      <c r="E347" s="8">
        <v>19799.0</v>
      </c>
    </row>
    <row r="348" ht="14.25" customHeight="1">
      <c r="A348" s="15">
        <v>43973.0</v>
      </c>
      <c r="B348" s="8" t="s">
        <v>15</v>
      </c>
      <c r="C348" s="8">
        <v>129.0</v>
      </c>
      <c r="D348" s="8">
        <v>17088.0</v>
      </c>
      <c r="E348" s="8">
        <v>15804.0</v>
      </c>
    </row>
    <row r="349" ht="14.25" customHeight="1">
      <c r="A349" s="15">
        <v>43973.0</v>
      </c>
      <c r="B349" s="8" t="s">
        <v>13</v>
      </c>
      <c r="C349" s="8">
        <v>10.0</v>
      </c>
      <c r="D349" s="8">
        <v>965.0</v>
      </c>
      <c r="E349" s="8">
        <v>861.0</v>
      </c>
    </row>
    <row r="350" ht="14.25" customHeight="1">
      <c r="A350" s="15">
        <v>43974.0</v>
      </c>
      <c r="B350" s="8" t="s">
        <v>17</v>
      </c>
      <c r="C350" s="8">
        <v>36.0</v>
      </c>
      <c r="D350" s="8">
        <v>5651.0</v>
      </c>
      <c r="E350" s="8">
        <v>5212.0</v>
      </c>
    </row>
    <row r="351" ht="14.25" customHeight="1">
      <c r="A351" s="15">
        <v>43974.0</v>
      </c>
      <c r="B351" s="8" t="s">
        <v>12</v>
      </c>
      <c r="C351" s="8">
        <v>31.0</v>
      </c>
      <c r="D351" s="8">
        <v>6276.0</v>
      </c>
      <c r="E351" s="8">
        <v>5801.0</v>
      </c>
    </row>
    <row r="352" ht="14.25" customHeight="1">
      <c r="A352" s="15">
        <v>43974.0</v>
      </c>
      <c r="B352" s="8" t="s">
        <v>18</v>
      </c>
      <c r="C352" s="8">
        <v>21.0</v>
      </c>
      <c r="D352" s="8">
        <v>2460.0</v>
      </c>
      <c r="E352" s="8">
        <v>2226.0</v>
      </c>
    </row>
    <row r="353" ht="14.25" customHeight="1">
      <c r="A353" s="15">
        <v>43974.0</v>
      </c>
      <c r="B353" s="8" t="s">
        <v>11</v>
      </c>
      <c r="C353" s="8">
        <v>21.0</v>
      </c>
      <c r="D353" s="8">
        <v>2340.0</v>
      </c>
      <c r="E353" s="8">
        <v>2146.0</v>
      </c>
    </row>
    <row r="354" ht="14.25" customHeight="1">
      <c r="A354" s="15">
        <v>43974.0</v>
      </c>
      <c r="B354" s="8" t="s">
        <v>21</v>
      </c>
      <c r="C354" s="8">
        <v>19.0</v>
      </c>
      <c r="D354" s="8">
        <v>2195.0</v>
      </c>
      <c r="E354" s="8">
        <v>1999.0</v>
      </c>
    </row>
    <row r="355" ht="14.25" customHeight="1">
      <c r="A355" s="15">
        <v>43974.0</v>
      </c>
      <c r="B355" s="8" t="s">
        <v>23</v>
      </c>
      <c r="C355" s="8">
        <v>54.0</v>
      </c>
      <c r="D355" s="8">
        <v>16221.0</v>
      </c>
      <c r="E355" s="8">
        <v>15065.0</v>
      </c>
    </row>
    <row r="356" ht="14.25" customHeight="1">
      <c r="A356" s="15">
        <v>43974.0</v>
      </c>
      <c r="B356" s="8" t="s">
        <v>22</v>
      </c>
      <c r="C356" s="8">
        <v>60.0</v>
      </c>
      <c r="D356" s="8">
        <v>17295.0</v>
      </c>
      <c r="E356" s="8">
        <v>16010.0</v>
      </c>
    </row>
    <row r="357" ht="14.25" customHeight="1">
      <c r="A357" s="15">
        <v>43974.0</v>
      </c>
      <c r="B357" s="8" t="s">
        <v>14</v>
      </c>
      <c r="C357" s="8">
        <v>20.0</v>
      </c>
      <c r="D357" s="8">
        <v>2266.0</v>
      </c>
      <c r="E357" s="8">
        <v>1993.0</v>
      </c>
    </row>
    <row r="358" ht="14.25" customHeight="1">
      <c r="A358" s="15">
        <v>43974.0</v>
      </c>
      <c r="B358" s="8" t="s">
        <v>24</v>
      </c>
      <c r="C358" s="8">
        <v>18.0</v>
      </c>
      <c r="D358" s="8">
        <v>1031.0</v>
      </c>
      <c r="E358" s="8">
        <v>918.0</v>
      </c>
    </row>
    <row r="359" ht="14.25" customHeight="1">
      <c r="A359" s="15">
        <v>43974.0</v>
      </c>
      <c r="B359" s="8" t="s">
        <v>19</v>
      </c>
      <c r="C359" s="8">
        <v>17.0</v>
      </c>
      <c r="D359" s="8">
        <v>1294.0</v>
      </c>
      <c r="E359" s="8">
        <v>1155.0</v>
      </c>
    </row>
    <row r="360" ht="14.25" customHeight="1">
      <c r="A360" s="15">
        <v>43974.0</v>
      </c>
      <c r="B360" s="8" t="s">
        <v>20</v>
      </c>
      <c r="C360" s="8">
        <v>15.0</v>
      </c>
      <c r="D360" s="8">
        <v>840.0</v>
      </c>
      <c r="E360" s="8">
        <v>725.0</v>
      </c>
    </row>
    <row r="361" ht="14.25" customHeight="1">
      <c r="A361" s="15">
        <v>43974.0</v>
      </c>
      <c r="B361" s="8" t="s">
        <v>16</v>
      </c>
      <c r="C361" s="8">
        <v>125.0</v>
      </c>
      <c r="D361" s="8">
        <v>24574.0</v>
      </c>
      <c r="E361" s="8">
        <v>22609.0</v>
      </c>
    </row>
    <row r="362" ht="14.25" customHeight="1">
      <c r="A362" s="15">
        <v>43974.0</v>
      </c>
      <c r="B362" s="8" t="s">
        <v>15</v>
      </c>
      <c r="C362" s="8">
        <v>129.0</v>
      </c>
      <c r="D362" s="8">
        <v>19856.0</v>
      </c>
      <c r="E362" s="8">
        <v>18325.0</v>
      </c>
    </row>
    <row r="363" ht="14.25" customHeight="1">
      <c r="A363" s="15">
        <v>43974.0</v>
      </c>
      <c r="B363" s="8" t="s">
        <v>13</v>
      </c>
      <c r="C363" s="8">
        <v>10.0</v>
      </c>
      <c r="D363" s="8">
        <v>828.0</v>
      </c>
      <c r="E363" s="8">
        <v>734.0</v>
      </c>
    </row>
    <row r="364" ht="14.25" customHeight="1">
      <c r="A364" s="15">
        <v>43975.0</v>
      </c>
      <c r="B364" s="8" t="s">
        <v>17</v>
      </c>
      <c r="C364" s="8">
        <v>36.0</v>
      </c>
      <c r="D364" s="8">
        <v>4915.0</v>
      </c>
      <c r="E364" s="8">
        <v>4562.0</v>
      </c>
    </row>
    <row r="365" ht="14.25" customHeight="1">
      <c r="A365" s="15">
        <v>43975.0</v>
      </c>
      <c r="B365" s="8" t="s">
        <v>12</v>
      </c>
      <c r="C365" s="8">
        <v>31.0</v>
      </c>
      <c r="D365" s="8">
        <v>5035.0</v>
      </c>
      <c r="E365" s="8">
        <v>4683.0</v>
      </c>
    </row>
    <row r="366" ht="14.25" customHeight="1">
      <c r="A366" s="15">
        <v>43975.0</v>
      </c>
      <c r="B366" s="8" t="s">
        <v>18</v>
      </c>
      <c r="C366" s="8">
        <v>21.0</v>
      </c>
      <c r="D366" s="8">
        <v>2254.0</v>
      </c>
      <c r="E366" s="8">
        <v>2061.0</v>
      </c>
    </row>
    <row r="367" ht="14.25" customHeight="1">
      <c r="A367" s="15">
        <v>43975.0</v>
      </c>
      <c r="B367" s="8" t="s">
        <v>11</v>
      </c>
      <c r="C367" s="8">
        <v>20.0</v>
      </c>
      <c r="D367" s="8">
        <v>1999.0</v>
      </c>
      <c r="E367" s="8">
        <v>1829.0</v>
      </c>
    </row>
    <row r="368" ht="14.25" customHeight="1">
      <c r="A368" s="15">
        <v>43975.0</v>
      </c>
      <c r="B368" s="8" t="s">
        <v>21</v>
      </c>
      <c r="C368" s="8">
        <v>19.0</v>
      </c>
      <c r="D368" s="8">
        <v>1868.0</v>
      </c>
      <c r="E368" s="8">
        <v>1706.0</v>
      </c>
    </row>
    <row r="369" ht="14.25" customHeight="1">
      <c r="A369" s="15">
        <v>43975.0</v>
      </c>
      <c r="B369" s="8" t="s">
        <v>23</v>
      </c>
      <c r="C369" s="8">
        <v>54.0</v>
      </c>
      <c r="D369" s="8">
        <v>12211.0</v>
      </c>
      <c r="E369" s="8">
        <v>11427.0</v>
      </c>
    </row>
    <row r="370" ht="14.25" customHeight="1">
      <c r="A370" s="15">
        <v>43975.0</v>
      </c>
      <c r="B370" s="8" t="s">
        <v>22</v>
      </c>
      <c r="C370" s="8">
        <v>60.0</v>
      </c>
      <c r="D370" s="8">
        <v>12822.0</v>
      </c>
      <c r="E370" s="8">
        <v>11916.0</v>
      </c>
    </row>
    <row r="371" ht="14.25" customHeight="1">
      <c r="A371" s="15">
        <v>43975.0</v>
      </c>
      <c r="B371" s="8" t="s">
        <v>14</v>
      </c>
      <c r="C371" s="8">
        <v>20.0</v>
      </c>
      <c r="D371" s="8">
        <v>2015.0</v>
      </c>
      <c r="E371" s="8">
        <v>1803.0</v>
      </c>
    </row>
    <row r="372" ht="14.25" customHeight="1">
      <c r="A372" s="15">
        <v>43975.0</v>
      </c>
      <c r="B372" s="8" t="s">
        <v>24</v>
      </c>
      <c r="C372" s="8">
        <v>18.0</v>
      </c>
      <c r="D372" s="8">
        <v>1006.0</v>
      </c>
      <c r="E372" s="8">
        <v>904.0</v>
      </c>
    </row>
    <row r="373" ht="14.25" customHeight="1">
      <c r="A373" s="15">
        <v>43975.0</v>
      </c>
      <c r="B373" s="8" t="s">
        <v>19</v>
      </c>
      <c r="C373" s="8">
        <v>17.0</v>
      </c>
      <c r="D373" s="8">
        <v>1128.0</v>
      </c>
      <c r="E373" s="8">
        <v>1001.0</v>
      </c>
    </row>
    <row r="374" ht="14.25" customHeight="1">
      <c r="A374" s="15">
        <v>43975.0</v>
      </c>
      <c r="B374" s="8" t="s">
        <v>20</v>
      </c>
      <c r="C374" s="8">
        <v>15.0</v>
      </c>
      <c r="D374" s="8">
        <v>779.0</v>
      </c>
      <c r="E374" s="8">
        <v>673.0</v>
      </c>
    </row>
    <row r="375" ht="14.25" customHeight="1">
      <c r="A375" s="15">
        <v>43975.0</v>
      </c>
      <c r="B375" s="8" t="s">
        <v>16</v>
      </c>
      <c r="C375" s="8">
        <v>125.0</v>
      </c>
      <c r="D375" s="8">
        <v>21004.0</v>
      </c>
      <c r="E375" s="8">
        <v>19556.0</v>
      </c>
    </row>
    <row r="376" ht="14.25" customHeight="1">
      <c r="A376" s="15">
        <v>43975.0</v>
      </c>
      <c r="B376" s="8" t="s">
        <v>15</v>
      </c>
      <c r="C376" s="8">
        <v>129.0</v>
      </c>
      <c r="D376" s="8">
        <v>16432.0</v>
      </c>
      <c r="E376" s="8">
        <v>15345.0</v>
      </c>
    </row>
    <row r="377" ht="14.25" customHeight="1">
      <c r="A377" s="15">
        <v>43975.0</v>
      </c>
      <c r="B377" s="8" t="s">
        <v>13</v>
      </c>
      <c r="C377" s="8">
        <v>10.0</v>
      </c>
      <c r="D377" s="8">
        <v>639.0</v>
      </c>
      <c r="E377" s="8">
        <v>557.0</v>
      </c>
    </row>
    <row r="378" ht="14.25" customHeight="1">
      <c r="A378" s="15">
        <v>43976.0</v>
      </c>
      <c r="B378" s="8" t="s">
        <v>17</v>
      </c>
      <c r="C378" s="8">
        <v>36.0</v>
      </c>
      <c r="D378" s="8">
        <v>4641.0</v>
      </c>
      <c r="E378" s="8">
        <v>4274.0</v>
      </c>
    </row>
    <row r="379" ht="14.25" customHeight="1">
      <c r="A379" s="15">
        <v>43976.0</v>
      </c>
      <c r="B379" s="8" t="s">
        <v>12</v>
      </c>
      <c r="C379" s="8">
        <v>31.0</v>
      </c>
      <c r="D379" s="8">
        <v>5210.0</v>
      </c>
      <c r="E379" s="8">
        <v>4841.0</v>
      </c>
    </row>
    <row r="380" ht="14.25" customHeight="1">
      <c r="A380" s="15">
        <v>43976.0</v>
      </c>
      <c r="B380" s="8" t="s">
        <v>18</v>
      </c>
      <c r="C380" s="8">
        <v>21.0</v>
      </c>
      <c r="D380" s="8">
        <v>2330.0</v>
      </c>
      <c r="E380" s="8">
        <v>2142.0</v>
      </c>
    </row>
    <row r="381" ht="14.25" customHeight="1">
      <c r="A381" s="15">
        <v>43976.0</v>
      </c>
      <c r="B381" s="8" t="s">
        <v>11</v>
      </c>
      <c r="C381" s="8">
        <v>20.0</v>
      </c>
      <c r="D381" s="8">
        <v>2087.0</v>
      </c>
      <c r="E381" s="8">
        <v>1914.0</v>
      </c>
    </row>
    <row r="382" ht="14.25" customHeight="1">
      <c r="A382" s="15">
        <v>43976.0</v>
      </c>
      <c r="B382" s="8" t="s">
        <v>21</v>
      </c>
      <c r="C382" s="8">
        <v>20.0</v>
      </c>
      <c r="D382" s="8">
        <v>1899.0</v>
      </c>
      <c r="E382" s="8">
        <v>1738.0</v>
      </c>
    </row>
    <row r="383" ht="14.25" customHeight="1">
      <c r="A383" s="15">
        <v>43976.0</v>
      </c>
      <c r="B383" s="8" t="s">
        <v>23</v>
      </c>
      <c r="C383" s="8">
        <v>54.0</v>
      </c>
      <c r="D383" s="8">
        <v>12336.0</v>
      </c>
      <c r="E383" s="8">
        <v>11519.0</v>
      </c>
    </row>
    <row r="384" ht="14.25" customHeight="1">
      <c r="A384" s="15">
        <v>43976.0</v>
      </c>
      <c r="B384" s="8" t="s">
        <v>22</v>
      </c>
      <c r="C384" s="8">
        <v>59.0</v>
      </c>
      <c r="D384" s="8">
        <v>12983.0</v>
      </c>
      <c r="E384" s="8">
        <v>12056.0</v>
      </c>
    </row>
    <row r="385" ht="14.25" customHeight="1">
      <c r="A385" s="15">
        <v>43976.0</v>
      </c>
      <c r="B385" s="8" t="s">
        <v>14</v>
      </c>
      <c r="C385" s="8">
        <v>20.0</v>
      </c>
      <c r="D385" s="8">
        <v>2011.0</v>
      </c>
      <c r="E385" s="8">
        <v>1791.0</v>
      </c>
    </row>
    <row r="386" ht="14.25" customHeight="1">
      <c r="A386" s="15">
        <v>43976.0</v>
      </c>
      <c r="B386" s="8" t="s">
        <v>24</v>
      </c>
      <c r="C386" s="8">
        <v>18.0</v>
      </c>
      <c r="D386" s="8">
        <v>989.0</v>
      </c>
      <c r="E386" s="8">
        <v>887.0</v>
      </c>
    </row>
    <row r="387" ht="14.25" customHeight="1">
      <c r="A387" s="15">
        <v>43976.0</v>
      </c>
      <c r="B387" s="8" t="s">
        <v>19</v>
      </c>
      <c r="C387" s="8">
        <v>17.0</v>
      </c>
      <c r="D387" s="8">
        <v>1142.0</v>
      </c>
      <c r="E387" s="8">
        <v>1020.0</v>
      </c>
    </row>
    <row r="388" ht="14.25" customHeight="1">
      <c r="A388" s="15">
        <v>43976.0</v>
      </c>
      <c r="B388" s="8" t="s">
        <v>20</v>
      </c>
      <c r="C388" s="8">
        <v>15.0</v>
      </c>
      <c r="D388" s="8">
        <v>835.0</v>
      </c>
      <c r="E388" s="8">
        <v>736.0</v>
      </c>
    </row>
    <row r="389" ht="14.25" customHeight="1">
      <c r="A389" s="15">
        <v>43976.0</v>
      </c>
      <c r="B389" s="8" t="s">
        <v>16</v>
      </c>
      <c r="C389" s="8">
        <v>124.0</v>
      </c>
      <c r="D389" s="8">
        <v>20358.0</v>
      </c>
      <c r="E389" s="8">
        <v>18890.0</v>
      </c>
    </row>
    <row r="390" ht="14.25" customHeight="1">
      <c r="A390" s="15">
        <v>43976.0</v>
      </c>
      <c r="B390" s="8" t="s">
        <v>15</v>
      </c>
      <c r="C390" s="8">
        <v>129.0</v>
      </c>
      <c r="D390" s="8">
        <v>15822.0</v>
      </c>
      <c r="E390" s="8">
        <v>14753.0</v>
      </c>
    </row>
    <row r="391" ht="14.25" customHeight="1">
      <c r="A391" s="15">
        <v>43976.0</v>
      </c>
      <c r="B391" s="8" t="s">
        <v>13</v>
      </c>
      <c r="C391" s="8">
        <v>10.0</v>
      </c>
      <c r="D391" s="8">
        <v>739.0</v>
      </c>
      <c r="E391" s="8">
        <v>642.0</v>
      </c>
    </row>
    <row r="392" ht="14.25" customHeight="1">
      <c r="A392" s="15">
        <v>43977.0</v>
      </c>
      <c r="B392" s="8" t="s">
        <v>17</v>
      </c>
      <c r="C392" s="8">
        <v>36.0</v>
      </c>
      <c r="D392" s="8">
        <v>4770.0</v>
      </c>
      <c r="E392" s="8">
        <v>4424.0</v>
      </c>
    </row>
    <row r="393" ht="14.25" customHeight="1">
      <c r="A393" s="15">
        <v>43977.0</v>
      </c>
      <c r="B393" s="8" t="s">
        <v>12</v>
      </c>
      <c r="C393" s="8">
        <v>31.0</v>
      </c>
      <c r="D393" s="8">
        <v>5493.0</v>
      </c>
      <c r="E393" s="8">
        <v>5119.0</v>
      </c>
    </row>
    <row r="394" ht="14.25" customHeight="1">
      <c r="A394" s="15">
        <v>43977.0</v>
      </c>
      <c r="B394" s="8" t="s">
        <v>18</v>
      </c>
      <c r="C394" s="8">
        <v>21.0</v>
      </c>
      <c r="D394" s="8">
        <v>2418.0</v>
      </c>
      <c r="E394" s="8">
        <v>2215.0</v>
      </c>
    </row>
    <row r="395" ht="14.25" customHeight="1">
      <c r="A395" s="15">
        <v>43977.0</v>
      </c>
      <c r="B395" s="8" t="s">
        <v>11</v>
      </c>
      <c r="C395" s="8">
        <v>20.0</v>
      </c>
      <c r="D395" s="8">
        <v>2044.0</v>
      </c>
      <c r="E395" s="8">
        <v>1863.0</v>
      </c>
    </row>
    <row r="396" ht="14.25" customHeight="1">
      <c r="A396" s="15">
        <v>43977.0</v>
      </c>
      <c r="B396" s="8" t="s">
        <v>21</v>
      </c>
      <c r="C396" s="8">
        <v>20.0</v>
      </c>
      <c r="D396" s="8">
        <v>1814.0</v>
      </c>
      <c r="E396" s="8">
        <v>1655.0</v>
      </c>
    </row>
    <row r="397" ht="14.25" customHeight="1">
      <c r="A397" s="15">
        <v>43977.0</v>
      </c>
      <c r="B397" s="8" t="s">
        <v>23</v>
      </c>
      <c r="C397" s="8">
        <v>54.0</v>
      </c>
      <c r="D397" s="8">
        <v>14482.0</v>
      </c>
      <c r="E397" s="8">
        <v>13510.0</v>
      </c>
    </row>
    <row r="398" ht="14.25" customHeight="1">
      <c r="A398" s="15">
        <v>43977.0</v>
      </c>
      <c r="B398" s="8" t="s">
        <v>22</v>
      </c>
      <c r="C398" s="8">
        <v>59.0</v>
      </c>
      <c r="D398" s="8">
        <v>15369.0</v>
      </c>
      <c r="E398" s="8">
        <v>14299.0</v>
      </c>
    </row>
    <row r="399" ht="14.25" customHeight="1">
      <c r="A399" s="15">
        <v>43977.0</v>
      </c>
      <c r="B399" s="8" t="s">
        <v>14</v>
      </c>
      <c r="C399" s="8">
        <v>20.0</v>
      </c>
      <c r="D399" s="8">
        <v>2036.0</v>
      </c>
      <c r="E399" s="8">
        <v>1790.0</v>
      </c>
    </row>
    <row r="400" ht="14.25" customHeight="1">
      <c r="A400" s="15">
        <v>43977.0</v>
      </c>
      <c r="B400" s="8" t="s">
        <v>24</v>
      </c>
      <c r="C400" s="8">
        <v>18.0</v>
      </c>
      <c r="D400" s="8">
        <v>914.0</v>
      </c>
      <c r="E400" s="8">
        <v>804.0</v>
      </c>
    </row>
    <row r="401" ht="14.25" customHeight="1">
      <c r="A401" s="15">
        <v>43977.0</v>
      </c>
      <c r="B401" s="8" t="s">
        <v>19</v>
      </c>
      <c r="C401" s="8">
        <v>17.0</v>
      </c>
      <c r="D401" s="8">
        <v>1140.0</v>
      </c>
      <c r="E401" s="8">
        <v>1016.0</v>
      </c>
    </row>
    <row r="402" ht="14.25" customHeight="1">
      <c r="A402" s="15">
        <v>43977.0</v>
      </c>
      <c r="B402" s="8" t="s">
        <v>20</v>
      </c>
      <c r="C402" s="8">
        <v>15.0</v>
      </c>
      <c r="D402" s="8">
        <v>812.0</v>
      </c>
      <c r="E402" s="8">
        <v>711.0</v>
      </c>
    </row>
    <row r="403" ht="14.25" customHeight="1">
      <c r="A403" s="15">
        <v>43977.0</v>
      </c>
      <c r="B403" s="8" t="s">
        <v>16</v>
      </c>
      <c r="C403" s="8">
        <v>124.0</v>
      </c>
      <c r="D403" s="8">
        <v>21153.0</v>
      </c>
      <c r="E403" s="8">
        <v>19673.0</v>
      </c>
    </row>
    <row r="404" ht="14.25" customHeight="1">
      <c r="A404" s="15">
        <v>43977.0</v>
      </c>
      <c r="B404" s="8" t="s">
        <v>15</v>
      </c>
      <c r="C404" s="8">
        <v>129.0</v>
      </c>
      <c r="D404" s="8">
        <v>16459.0</v>
      </c>
      <c r="E404" s="8">
        <v>15355.0</v>
      </c>
    </row>
    <row r="405" ht="14.25" customHeight="1">
      <c r="A405" s="15">
        <v>43977.0</v>
      </c>
      <c r="B405" s="8" t="s">
        <v>13</v>
      </c>
      <c r="C405" s="8">
        <v>10.0</v>
      </c>
      <c r="D405" s="8">
        <v>692.0</v>
      </c>
      <c r="E405" s="8">
        <v>601.0</v>
      </c>
    </row>
    <row r="406" ht="14.25" customHeight="1">
      <c r="A406" s="15">
        <v>43977.0</v>
      </c>
      <c r="B406" s="8" t="s">
        <v>25</v>
      </c>
      <c r="C406" s="8">
        <v>7.0</v>
      </c>
      <c r="D406" s="8">
        <v>577.0</v>
      </c>
      <c r="E406" s="8">
        <v>389.0</v>
      </c>
    </row>
    <row r="407" ht="14.25" customHeight="1">
      <c r="A407" s="15">
        <v>43978.0</v>
      </c>
      <c r="B407" s="8" t="s">
        <v>17</v>
      </c>
      <c r="C407" s="8">
        <v>36.0</v>
      </c>
      <c r="D407" s="8">
        <v>4951.0</v>
      </c>
      <c r="E407" s="8">
        <v>4584.0</v>
      </c>
    </row>
    <row r="408" ht="14.25" customHeight="1">
      <c r="A408" s="15">
        <v>43978.0</v>
      </c>
      <c r="B408" s="8" t="s">
        <v>12</v>
      </c>
      <c r="C408" s="8">
        <v>31.0</v>
      </c>
      <c r="D408" s="8">
        <v>5330.0</v>
      </c>
      <c r="E408" s="8">
        <v>4977.0</v>
      </c>
    </row>
    <row r="409" ht="14.25" customHeight="1">
      <c r="A409" s="15">
        <v>43978.0</v>
      </c>
      <c r="B409" s="8" t="s">
        <v>18</v>
      </c>
      <c r="C409" s="8">
        <v>21.0</v>
      </c>
      <c r="D409" s="8">
        <v>2430.0</v>
      </c>
      <c r="E409" s="8">
        <v>2216.0</v>
      </c>
    </row>
    <row r="410" ht="14.25" customHeight="1">
      <c r="A410" s="15">
        <v>43978.0</v>
      </c>
      <c r="B410" s="8" t="s">
        <v>11</v>
      </c>
      <c r="C410" s="8">
        <v>20.0</v>
      </c>
      <c r="D410" s="8">
        <v>2079.0</v>
      </c>
      <c r="E410" s="8">
        <v>1893.0</v>
      </c>
    </row>
    <row r="411" ht="14.25" customHeight="1">
      <c r="A411" s="15">
        <v>43978.0</v>
      </c>
      <c r="B411" s="8" t="s">
        <v>21</v>
      </c>
      <c r="C411" s="8">
        <v>20.0</v>
      </c>
      <c r="D411" s="8">
        <v>1873.0</v>
      </c>
      <c r="E411" s="8">
        <v>1715.0</v>
      </c>
    </row>
    <row r="412" ht="14.25" customHeight="1">
      <c r="A412" s="15">
        <v>43978.0</v>
      </c>
      <c r="B412" s="8" t="s">
        <v>23</v>
      </c>
      <c r="C412" s="8">
        <v>54.0</v>
      </c>
      <c r="D412" s="8">
        <v>13091.0</v>
      </c>
      <c r="E412" s="8">
        <v>12216.0</v>
      </c>
    </row>
    <row r="413" ht="14.25" customHeight="1">
      <c r="A413" s="15">
        <v>43978.0</v>
      </c>
      <c r="B413" s="8" t="s">
        <v>22</v>
      </c>
      <c r="C413" s="8">
        <v>59.0</v>
      </c>
      <c r="D413" s="8">
        <v>13942.0</v>
      </c>
      <c r="E413" s="8">
        <v>12986.0</v>
      </c>
    </row>
    <row r="414" ht="14.25" customHeight="1">
      <c r="A414" s="15">
        <v>43978.0</v>
      </c>
      <c r="B414" s="8" t="s">
        <v>14</v>
      </c>
      <c r="C414" s="8">
        <v>20.0</v>
      </c>
      <c r="D414" s="8">
        <v>2079.0</v>
      </c>
      <c r="E414" s="8">
        <v>1856.0</v>
      </c>
    </row>
    <row r="415" ht="14.25" customHeight="1">
      <c r="A415" s="15">
        <v>43978.0</v>
      </c>
      <c r="B415" s="8" t="s">
        <v>24</v>
      </c>
      <c r="C415" s="8">
        <v>18.0</v>
      </c>
      <c r="D415" s="8">
        <v>962.0</v>
      </c>
      <c r="E415" s="8">
        <v>859.0</v>
      </c>
    </row>
    <row r="416" ht="14.25" customHeight="1">
      <c r="A416" s="15">
        <v>43978.0</v>
      </c>
      <c r="B416" s="8" t="s">
        <v>19</v>
      </c>
      <c r="C416" s="8">
        <v>17.0</v>
      </c>
      <c r="D416" s="8">
        <v>1203.0</v>
      </c>
      <c r="E416" s="8">
        <v>1077.0</v>
      </c>
    </row>
    <row r="417" ht="14.25" customHeight="1">
      <c r="A417" s="15">
        <v>43978.0</v>
      </c>
      <c r="B417" s="8" t="s">
        <v>20</v>
      </c>
      <c r="C417" s="8">
        <v>15.0</v>
      </c>
      <c r="D417" s="8">
        <v>809.0</v>
      </c>
      <c r="E417" s="8">
        <v>702.0</v>
      </c>
    </row>
    <row r="418" ht="14.25" customHeight="1">
      <c r="A418" s="15">
        <v>43978.0</v>
      </c>
      <c r="B418" s="8" t="s">
        <v>16</v>
      </c>
      <c r="C418" s="8">
        <v>124.0</v>
      </c>
      <c r="D418" s="8">
        <v>21384.0</v>
      </c>
      <c r="E418" s="8">
        <v>19897.0</v>
      </c>
    </row>
    <row r="419" ht="14.25" customHeight="1">
      <c r="A419" s="15">
        <v>43978.0</v>
      </c>
      <c r="B419" s="8" t="s">
        <v>15</v>
      </c>
      <c r="C419" s="8">
        <v>129.0</v>
      </c>
      <c r="D419" s="8">
        <v>17115.0</v>
      </c>
      <c r="E419" s="8">
        <v>15962.0</v>
      </c>
    </row>
    <row r="420" ht="14.25" customHeight="1">
      <c r="A420" s="15">
        <v>43978.0</v>
      </c>
      <c r="B420" s="8" t="s">
        <v>13</v>
      </c>
      <c r="C420" s="8">
        <v>10.0</v>
      </c>
      <c r="D420" s="8">
        <v>757.0</v>
      </c>
      <c r="E420" s="8">
        <v>660.0</v>
      </c>
    </row>
    <row r="421" ht="14.25" customHeight="1">
      <c r="A421" s="15">
        <v>43978.0</v>
      </c>
      <c r="B421" s="8" t="s">
        <v>25</v>
      </c>
      <c r="C421" s="8">
        <v>7.0</v>
      </c>
      <c r="D421" s="8">
        <v>409.0</v>
      </c>
      <c r="E421" s="8">
        <v>329.0</v>
      </c>
    </row>
    <row r="422" ht="14.25" customHeight="1">
      <c r="A422" s="15">
        <v>43979.0</v>
      </c>
      <c r="B422" s="8" t="s">
        <v>17</v>
      </c>
      <c r="C422" s="8">
        <v>37.0</v>
      </c>
      <c r="D422" s="8">
        <v>4840.0</v>
      </c>
      <c r="E422" s="8">
        <v>4475.0</v>
      </c>
    </row>
    <row r="423" ht="14.25" customHeight="1">
      <c r="A423" s="15">
        <v>43979.0</v>
      </c>
      <c r="B423" s="8" t="s">
        <v>12</v>
      </c>
      <c r="C423" s="8">
        <v>31.0</v>
      </c>
      <c r="D423" s="8">
        <v>5355.0</v>
      </c>
      <c r="E423" s="8">
        <v>4969.0</v>
      </c>
    </row>
    <row r="424" ht="14.25" customHeight="1">
      <c r="A424" s="15">
        <v>43979.0</v>
      </c>
      <c r="B424" s="8" t="s">
        <v>18</v>
      </c>
      <c r="C424" s="8">
        <v>22.0</v>
      </c>
      <c r="D424" s="8">
        <v>2454.0</v>
      </c>
      <c r="E424" s="8">
        <v>2239.0</v>
      </c>
    </row>
    <row r="425" ht="14.25" customHeight="1">
      <c r="A425" s="15">
        <v>43979.0</v>
      </c>
      <c r="B425" s="8" t="s">
        <v>11</v>
      </c>
      <c r="C425" s="8">
        <v>20.0</v>
      </c>
      <c r="D425" s="8">
        <v>1886.0</v>
      </c>
      <c r="E425" s="8">
        <v>1736.0</v>
      </c>
    </row>
    <row r="426" ht="14.25" customHeight="1">
      <c r="A426" s="15">
        <v>43979.0</v>
      </c>
      <c r="B426" s="8" t="s">
        <v>21</v>
      </c>
      <c r="C426" s="8">
        <v>20.0</v>
      </c>
      <c r="D426" s="8">
        <v>1875.0</v>
      </c>
      <c r="E426" s="8">
        <v>1701.0</v>
      </c>
    </row>
    <row r="427" ht="14.25" customHeight="1">
      <c r="A427" s="15">
        <v>43979.0</v>
      </c>
      <c r="B427" s="8" t="s">
        <v>23</v>
      </c>
      <c r="C427" s="8">
        <v>54.0</v>
      </c>
      <c r="D427" s="8">
        <v>12409.0</v>
      </c>
      <c r="E427" s="8">
        <v>11582.0</v>
      </c>
    </row>
    <row r="428" ht="14.25" customHeight="1">
      <c r="A428" s="15">
        <v>43979.0</v>
      </c>
      <c r="B428" s="8" t="s">
        <v>22</v>
      </c>
      <c r="C428" s="8">
        <v>60.0</v>
      </c>
      <c r="D428" s="8">
        <v>12854.0</v>
      </c>
      <c r="E428" s="8">
        <v>11954.0</v>
      </c>
    </row>
    <row r="429" ht="14.25" customHeight="1">
      <c r="A429" s="15">
        <v>43979.0</v>
      </c>
      <c r="B429" s="8" t="s">
        <v>14</v>
      </c>
      <c r="C429" s="8">
        <v>20.0</v>
      </c>
      <c r="D429" s="8">
        <v>2088.0</v>
      </c>
      <c r="E429" s="8">
        <v>1848.0</v>
      </c>
    </row>
    <row r="430" ht="14.25" customHeight="1">
      <c r="A430" s="15">
        <v>43979.0</v>
      </c>
      <c r="B430" s="8" t="s">
        <v>24</v>
      </c>
      <c r="C430" s="8">
        <v>18.0</v>
      </c>
      <c r="D430" s="8">
        <v>1020.0</v>
      </c>
      <c r="E430" s="8">
        <v>911.0</v>
      </c>
    </row>
    <row r="431" ht="14.25" customHeight="1">
      <c r="A431" s="15">
        <v>43979.0</v>
      </c>
      <c r="B431" s="8" t="s">
        <v>19</v>
      </c>
      <c r="C431" s="8">
        <v>17.0</v>
      </c>
      <c r="D431" s="8">
        <v>1097.0</v>
      </c>
      <c r="E431" s="8">
        <v>968.0</v>
      </c>
    </row>
    <row r="432" ht="14.25" customHeight="1">
      <c r="A432" s="15">
        <v>43979.0</v>
      </c>
      <c r="B432" s="8" t="s">
        <v>20</v>
      </c>
      <c r="C432" s="8">
        <v>16.0</v>
      </c>
      <c r="D432" s="8">
        <v>876.0</v>
      </c>
      <c r="E432" s="8">
        <v>762.0</v>
      </c>
    </row>
    <row r="433" ht="14.25" customHeight="1">
      <c r="A433" s="15">
        <v>43979.0</v>
      </c>
      <c r="B433" s="8" t="s">
        <v>10</v>
      </c>
      <c r="C433" s="8">
        <v>15.0</v>
      </c>
      <c r="D433" s="8">
        <v>464.0</v>
      </c>
      <c r="E433" s="8">
        <v>390.0</v>
      </c>
    </row>
    <row r="434" ht="14.25" customHeight="1">
      <c r="A434" s="15">
        <v>43979.0</v>
      </c>
      <c r="B434" s="8" t="s">
        <v>16</v>
      </c>
      <c r="C434" s="8">
        <v>124.0</v>
      </c>
      <c r="D434" s="8">
        <v>20868.0</v>
      </c>
      <c r="E434" s="8">
        <v>19342.0</v>
      </c>
    </row>
    <row r="435" ht="14.25" customHeight="1">
      <c r="A435" s="15">
        <v>43979.0</v>
      </c>
      <c r="B435" s="8" t="s">
        <v>15</v>
      </c>
      <c r="C435" s="8">
        <v>129.0</v>
      </c>
      <c r="D435" s="8">
        <v>16453.0</v>
      </c>
      <c r="E435" s="8">
        <v>15289.0</v>
      </c>
    </row>
    <row r="436" ht="14.25" customHeight="1">
      <c r="A436" s="15">
        <v>43979.0</v>
      </c>
      <c r="B436" s="8" t="s">
        <v>13</v>
      </c>
      <c r="C436" s="8">
        <v>10.0</v>
      </c>
      <c r="D436" s="8">
        <v>791.0</v>
      </c>
      <c r="E436" s="8">
        <v>697.0</v>
      </c>
    </row>
    <row r="437" ht="14.25" customHeight="1">
      <c r="A437" s="15">
        <v>43979.0</v>
      </c>
      <c r="B437" s="8" t="s">
        <v>25</v>
      </c>
      <c r="C437" s="8">
        <v>7.0</v>
      </c>
      <c r="D437" s="8">
        <v>420.0</v>
      </c>
      <c r="E437" s="8">
        <v>347.0</v>
      </c>
    </row>
    <row r="438" ht="14.25" customHeight="1">
      <c r="A438" s="15">
        <v>43980.0</v>
      </c>
      <c r="B438" s="8" t="s">
        <v>17</v>
      </c>
      <c r="C438" s="8">
        <v>37.0</v>
      </c>
      <c r="D438" s="8">
        <v>5672.0</v>
      </c>
      <c r="E438" s="8">
        <v>5198.0</v>
      </c>
    </row>
    <row r="439" ht="14.25" customHeight="1">
      <c r="A439" s="15">
        <v>43980.0</v>
      </c>
      <c r="B439" s="8" t="s">
        <v>12</v>
      </c>
      <c r="C439" s="8">
        <v>31.0</v>
      </c>
      <c r="D439" s="8">
        <v>5751.0</v>
      </c>
      <c r="E439" s="8">
        <v>5319.0</v>
      </c>
    </row>
    <row r="440" ht="14.25" customHeight="1">
      <c r="A440" s="15">
        <v>43980.0</v>
      </c>
      <c r="B440" s="8" t="s">
        <v>18</v>
      </c>
      <c r="C440" s="8">
        <v>22.0</v>
      </c>
      <c r="D440" s="8">
        <v>2597.0</v>
      </c>
      <c r="E440" s="8">
        <v>2379.0</v>
      </c>
    </row>
    <row r="441" ht="14.25" customHeight="1">
      <c r="A441" s="15">
        <v>43980.0</v>
      </c>
      <c r="B441" s="8" t="s">
        <v>11</v>
      </c>
      <c r="C441" s="8">
        <v>20.0</v>
      </c>
      <c r="D441" s="8">
        <v>2111.0</v>
      </c>
      <c r="E441" s="8">
        <v>1917.0</v>
      </c>
    </row>
    <row r="442" ht="14.25" customHeight="1">
      <c r="A442" s="15">
        <v>43980.0</v>
      </c>
      <c r="B442" s="8" t="s">
        <v>21</v>
      </c>
      <c r="C442" s="8">
        <v>20.0</v>
      </c>
      <c r="D442" s="8">
        <v>2064.0</v>
      </c>
      <c r="E442" s="8">
        <v>1896.0</v>
      </c>
    </row>
    <row r="443" ht="14.25" customHeight="1">
      <c r="A443" s="15">
        <v>43980.0</v>
      </c>
      <c r="B443" s="8" t="s">
        <v>23</v>
      </c>
      <c r="C443" s="8">
        <v>54.0</v>
      </c>
      <c r="D443" s="8">
        <v>14031.0</v>
      </c>
      <c r="E443" s="8">
        <v>12943.0</v>
      </c>
    </row>
    <row r="444" ht="14.25" customHeight="1">
      <c r="A444" s="15">
        <v>43980.0</v>
      </c>
      <c r="B444" s="8" t="s">
        <v>22</v>
      </c>
      <c r="C444" s="8">
        <v>59.0</v>
      </c>
      <c r="D444" s="8">
        <v>14507.0</v>
      </c>
      <c r="E444" s="8">
        <v>13386.0</v>
      </c>
    </row>
    <row r="445" ht="14.25" customHeight="1">
      <c r="A445" s="15">
        <v>43980.0</v>
      </c>
      <c r="B445" s="8" t="s">
        <v>14</v>
      </c>
      <c r="C445" s="8">
        <v>20.0</v>
      </c>
      <c r="D445" s="8">
        <v>2249.0</v>
      </c>
      <c r="E445" s="8">
        <v>2000.0</v>
      </c>
    </row>
    <row r="446" ht="14.25" customHeight="1">
      <c r="A446" s="15">
        <v>43980.0</v>
      </c>
      <c r="B446" s="8" t="s">
        <v>24</v>
      </c>
      <c r="C446" s="8">
        <v>18.0</v>
      </c>
      <c r="D446" s="8">
        <v>1014.0</v>
      </c>
      <c r="E446" s="8">
        <v>893.0</v>
      </c>
    </row>
    <row r="447" ht="14.25" customHeight="1">
      <c r="A447" s="15">
        <v>43980.0</v>
      </c>
      <c r="B447" s="8" t="s">
        <v>19</v>
      </c>
      <c r="C447" s="8">
        <v>17.0</v>
      </c>
      <c r="D447" s="8">
        <v>1296.0</v>
      </c>
      <c r="E447" s="8">
        <v>1153.0</v>
      </c>
    </row>
    <row r="448" ht="14.25" customHeight="1">
      <c r="A448" s="15">
        <v>43980.0</v>
      </c>
      <c r="B448" s="8" t="s">
        <v>20</v>
      </c>
      <c r="C448" s="8">
        <v>16.0</v>
      </c>
      <c r="D448" s="8">
        <v>981.0</v>
      </c>
      <c r="E448" s="8">
        <v>859.0</v>
      </c>
    </row>
    <row r="449" ht="14.25" customHeight="1">
      <c r="A449" s="15">
        <v>43980.0</v>
      </c>
      <c r="B449" s="8" t="s">
        <v>10</v>
      </c>
      <c r="C449" s="8">
        <v>15.0</v>
      </c>
      <c r="D449" s="8">
        <v>400.0</v>
      </c>
      <c r="E449" s="8">
        <v>329.0</v>
      </c>
    </row>
    <row r="450" ht="14.25" customHeight="1">
      <c r="A450" s="15">
        <v>43980.0</v>
      </c>
      <c r="B450" s="8" t="s">
        <v>16</v>
      </c>
      <c r="C450" s="8">
        <v>124.0</v>
      </c>
      <c r="D450" s="8">
        <v>25828.0</v>
      </c>
      <c r="E450" s="8">
        <v>23974.0</v>
      </c>
    </row>
    <row r="451" ht="14.25" customHeight="1">
      <c r="A451" s="15">
        <v>43980.0</v>
      </c>
      <c r="B451" s="8" t="s">
        <v>15</v>
      </c>
      <c r="C451" s="8">
        <v>129.0</v>
      </c>
      <c r="D451" s="8">
        <v>22403.0</v>
      </c>
      <c r="E451" s="8">
        <v>20676.0</v>
      </c>
    </row>
    <row r="452" ht="14.25" customHeight="1">
      <c r="A452" s="15">
        <v>43980.0</v>
      </c>
      <c r="B452" s="8" t="s">
        <v>13</v>
      </c>
      <c r="C452" s="8">
        <v>10.0</v>
      </c>
      <c r="D452" s="8">
        <v>873.0</v>
      </c>
      <c r="E452" s="8">
        <v>770.0</v>
      </c>
    </row>
    <row r="453" ht="14.25" customHeight="1">
      <c r="A453" s="15">
        <v>43980.0</v>
      </c>
      <c r="B453" s="8" t="s">
        <v>25</v>
      </c>
      <c r="C453" s="8">
        <v>7.0</v>
      </c>
      <c r="D453" s="8">
        <v>491.0</v>
      </c>
      <c r="E453" s="8">
        <v>411.0</v>
      </c>
    </row>
    <row r="454" ht="14.25" customHeight="1">
      <c r="A454" s="15">
        <v>43981.0</v>
      </c>
      <c r="B454" s="8" t="s">
        <v>17</v>
      </c>
      <c r="C454" s="8">
        <v>37.0</v>
      </c>
      <c r="D454" s="8">
        <v>6645.0</v>
      </c>
      <c r="E454" s="8">
        <v>6122.0</v>
      </c>
    </row>
    <row r="455" ht="14.25" customHeight="1">
      <c r="A455" s="15">
        <v>43981.0</v>
      </c>
      <c r="B455" s="8" t="s">
        <v>12</v>
      </c>
      <c r="C455" s="8">
        <v>31.0</v>
      </c>
      <c r="D455" s="8">
        <v>6735.0</v>
      </c>
      <c r="E455" s="8">
        <v>6264.0</v>
      </c>
    </row>
    <row r="456" ht="14.25" customHeight="1">
      <c r="A456" s="15">
        <v>43981.0</v>
      </c>
      <c r="B456" s="8" t="s">
        <v>18</v>
      </c>
      <c r="C456" s="8">
        <v>22.0</v>
      </c>
      <c r="D456" s="8">
        <v>2793.0</v>
      </c>
      <c r="E456" s="8">
        <v>2539.0</v>
      </c>
    </row>
    <row r="457" ht="14.25" customHeight="1">
      <c r="A457" s="15">
        <v>43981.0</v>
      </c>
      <c r="B457" s="8" t="s">
        <v>11</v>
      </c>
      <c r="C457" s="8">
        <v>20.0</v>
      </c>
      <c r="D457" s="8">
        <v>2597.0</v>
      </c>
      <c r="E457" s="8">
        <v>2376.0</v>
      </c>
    </row>
    <row r="458" ht="14.25" customHeight="1">
      <c r="A458" s="15">
        <v>43981.0</v>
      </c>
      <c r="B458" s="8" t="s">
        <v>21</v>
      </c>
      <c r="C458" s="8">
        <v>20.0</v>
      </c>
      <c r="D458" s="8">
        <v>2174.0</v>
      </c>
      <c r="E458" s="8">
        <v>1957.0</v>
      </c>
    </row>
    <row r="459" ht="14.25" customHeight="1">
      <c r="A459" s="15">
        <v>43981.0</v>
      </c>
      <c r="B459" s="8" t="s">
        <v>23</v>
      </c>
      <c r="C459" s="8">
        <v>54.0</v>
      </c>
      <c r="D459" s="8">
        <v>14590.0</v>
      </c>
      <c r="E459" s="8">
        <v>13551.0</v>
      </c>
    </row>
    <row r="460" ht="14.25" customHeight="1">
      <c r="A460" s="15">
        <v>43981.0</v>
      </c>
      <c r="B460" s="8" t="s">
        <v>22</v>
      </c>
      <c r="C460" s="8">
        <v>59.0</v>
      </c>
      <c r="D460" s="8">
        <v>15030.0</v>
      </c>
      <c r="E460" s="8">
        <v>13956.0</v>
      </c>
    </row>
    <row r="461" ht="14.25" customHeight="1">
      <c r="A461" s="15">
        <v>43981.0</v>
      </c>
      <c r="B461" s="8" t="s">
        <v>14</v>
      </c>
      <c r="C461" s="8">
        <v>20.0</v>
      </c>
      <c r="D461" s="8">
        <v>2451.0</v>
      </c>
      <c r="E461" s="8">
        <v>2178.0</v>
      </c>
    </row>
    <row r="462" ht="14.25" customHeight="1">
      <c r="A462" s="15">
        <v>43981.0</v>
      </c>
      <c r="B462" s="8" t="s">
        <v>24</v>
      </c>
      <c r="C462" s="8">
        <v>18.0</v>
      </c>
      <c r="D462" s="8">
        <v>1216.0</v>
      </c>
      <c r="E462" s="8">
        <v>1101.0</v>
      </c>
    </row>
    <row r="463" ht="14.25" customHeight="1">
      <c r="A463" s="15">
        <v>43981.0</v>
      </c>
      <c r="B463" s="8" t="s">
        <v>19</v>
      </c>
      <c r="C463" s="8">
        <v>17.0</v>
      </c>
      <c r="D463" s="8">
        <v>1697.0</v>
      </c>
      <c r="E463" s="8">
        <v>1499.0</v>
      </c>
    </row>
    <row r="464" ht="14.25" customHeight="1">
      <c r="A464" s="15">
        <v>43981.0</v>
      </c>
      <c r="B464" s="8" t="s">
        <v>20</v>
      </c>
      <c r="C464" s="8">
        <v>16.0</v>
      </c>
      <c r="D464" s="8">
        <v>1048.0</v>
      </c>
      <c r="E464" s="8">
        <v>918.0</v>
      </c>
    </row>
    <row r="465" ht="14.25" customHeight="1">
      <c r="A465" s="15">
        <v>43981.0</v>
      </c>
      <c r="B465" s="8" t="s">
        <v>10</v>
      </c>
      <c r="C465" s="8">
        <v>15.0</v>
      </c>
      <c r="D465" s="8">
        <v>490.0</v>
      </c>
      <c r="E465" s="8">
        <v>409.0</v>
      </c>
    </row>
    <row r="466" ht="14.25" customHeight="1">
      <c r="A466" s="15">
        <v>43981.0</v>
      </c>
      <c r="B466" s="8" t="s">
        <v>16</v>
      </c>
      <c r="C466" s="8">
        <v>124.0</v>
      </c>
      <c r="D466" s="8">
        <v>24325.0</v>
      </c>
      <c r="E466" s="8">
        <v>22469.0</v>
      </c>
    </row>
    <row r="467" ht="14.25" customHeight="1">
      <c r="A467" s="15">
        <v>43981.0</v>
      </c>
      <c r="B467" s="8" t="s">
        <v>15</v>
      </c>
      <c r="C467" s="8">
        <v>129.0</v>
      </c>
      <c r="D467" s="8">
        <v>20243.0</v>
      </c>
      <c r="E467" s="8">
        <v>18711.0</v>
      </c>
    </row>
    <row r="468" ht="14.25" customHeight="1">
      <c r="A468" s="15">
        <v>43981.0</v>
      </c>
      <c r="B468" s="8" t="s">
        <v>13</v>
      </c>
      <c r="C468" s="8">
        <v>10.0</v>
      </c>
      <c r="D468" s="8">
        <v>865.0</v>
      </c>
      <c r="E468" s="8">
        <v>763.0</v>
      </c>
    </row>
    <row r="469" ht="14.25" customHeight="1">
      <c r="A469" s="15">
        <v>43981.0</v>
      </c>
      <c r="B469" s="8" t="s">
        <v>25</v>
      </c>
      <c r="C469" s="8">
        <v>7.0</v>
      </c>
      <c r="D469" s="8">
        <v>532.0</v>
      </c>
      <c r="E469" s="8">
        <v>449.0</v>
      </c>
    </row>
    <row r="470" ht="14.25" customHeight="1">
      <c r="A470" s="15">
        <v>43982.0</v>
      </c>
      <c r="B470" s="8" t="s">
        <v>17</v>
      </c>
      <c r="C470" s="8">
        <v>37.0</v>
      </c>
      <c r="D470" s="8">
        <v>5215.0</v>
      </c>
      <c r="E470" s="8">
        <v>4848.0</v>
      </c>
    </row>
    <row r="471" ht="14.25" customHeight="1">
      <c r="A471" s="15">
        <v>43982.0</v>
      </c>
      <c r="B471" s="8" t="s">
        <v>12</v>
      </c>
      <c r="C471" s="8">
        <v>31.0</v>
      </c>
      <c r="D471" s="8">
        <v>5760.0</v>
      </c>
      <c r="E471" s="8">
        <v>5367.0</v>
      </c>
    </row>
    <row r="472" ht="14.25" customHeight="1">
      <c r="A472" s="15">
        <v>43982.0</v>
      </c>
      <c r="B472" s="8" t="s">
        <v>18</v>
      </c>
      <c r="C472" s="8">
        <v>23.0</v>
      </c>
      <c r="D472" s="8">
        <v>2522.0</v>
      </c>
      <c r="E472" s="8">
        <v>2295.0</v>
      </c>
    </row>
    <row r="473" ht="14.25" customHeight="1">
      <c r="A473" s="15">
        <v>43982.0</v>
      </c>
      <c r="B473" s="8" t="s">
        <v>11</v>
      </c>
      <c r="C473" s="8">
        <v>21.0</v>
      </c>
      <c r="D473" s="8">
        <v>2271.0</v>
      </c>
      <c r="E473" s="8">
        <v>2085.0</v>
      </c>
    </row>
    <row r="474" ht="14.25" customHeight="1">
      <c r="A474" s="15">
        <v>43982.0</v>
      </c>
      <c r="B474" s="8" t="s">
        <v>21</v>
      </c>
      <c r="C474" s="8">
        <v>21.0</v>
      </c>
      <c r="D474" s="8">
        <v>2056.0</v>
      </c>
      <c r="E474" s="8">
        <v>1879.0</v>
      </c>
    </row>
    <row r="475" ht="14.25" customHeight="1">
      <c r="A475" s="15">
        <v>43982.0</v>
      </c>
      <c r="B475" s="8" t="s">
        <v>23</v>
      </c>
      <c r="C475" s="8">
        <v>54.0</v>
      </c>
      <c r="D475" s="8">
        <v>13106.0</v>
      </c>
      <c r="E475" s="8">
        <v>12164.0</v>
      </c>
    </row>
    <row r="476" ht="14.25" customHeight="1">
      <c r="A476" s="15">
        <v>43982.0</v>
      </c>
      <c r="B476" s="8" t="s">
        <v>22</v>
      </c>
      <c r="C476" s="8">
        <v>59.0</v>
      </c>
      <c r="D476" s="8">
        <v>13684.0</v>
      </c>
      <c r="E476" s="8">
        <v>12690.0</v>
      </c>
    </row>
    <row r="477" ht="14.25" customHeight="1">
      <c r="A477" s="15">
        <v>43982.0</v>
      </c>
      <c r="B477" s="8" t="s">
        <v>14</v>
      </c>
      <c r="C477" s="8">
        <v>20.0</v>
      </c>
      <c r="D477" s="8">
        <v>2060.0</v>
      </c>
      <c r="E477" s="8">
        <v>1826.0</v>
      </c>
    </row>
    <row r="478" ht="14.25" customHeight="1">
      <c r="A478" s="15">
        <v>43982.0</v>
      </c>
      <c r="B478" s="8" t="s">
        <v>24</v>
      </c>
      <c r="C478" s="8">
        <v>18.0</v>
      </c>
      <c r="D478" s="8">
        <v>1029.0</v>
      </c>
      <c r="E478" s="8">
        <v>925.0</v>
      </c>
    </row>
    <row r="479" ht="14.25" customHeight="1">
      <c r="A479" s="15">
        <v>43982.0</v>
      </c>
      <c r="B479" s="8" t="s">
        <v>19</v>
      </c>
      <c r="C479" s="8">
        <v>17.0</v>
      </c>
      <c r="D479" s="8">
        <v>1186.0</v>
      </c>
      <c r="E479" s="8">
        <v>1054.0</v>
      </c>
    </row>
    <row r="480" ht="14.25" customHeight="1">
      <c r="A480" s="15">
        <v>43982.0</v>
      </c>
      <c r="B480" s="8" t="s">
        <v>20</v>
      </c>
      <c r="C480" s="8">
        <v>16.0</v>
      </c>
      <c r="D480" s="8">
        <v>917.0</v>
      </c>
      <c r="E480" s="8">
        <v>802.0</v>
      </c>
    </row>
    <row r="481" ht="14.25" customHeight="1">
      <c r="A481" s="15">
        <v>43982.0</v>
      </c>
      <c r="B481" s="8" t="s">
        <v>10</v>
      </c>
      <c r="C481" s="8">
        <v>15.0</v>
      </c>
      <c r="D481" s="8">
        <v>441.0</v>
      </c>
      <c r="E481" s="8">
        <v>368.0</v>
      </c>
    </row>
    <row r="482" ht="14.25" customHeight="1">
      <c r="A482" s="15">
        <v>43982.0</v>
      </c>
      <c r="B482" s="8" t="s">
        <v>16</v>
      </c>
      <c r="C482" s="8">
        <v>124.0</v>
      </c>
      <c r="D482" s="8">
        <v>21392.0</v>
      </c>
      <c r="E482" s="8">
        <v>19869.0</v>
      </c>
    </row>
    <row r="483" ht="14.25" customHeight="1">
      <c r="A483" s="15">
        <v>43982.0</v>
      </c>
      <c r="B483" s="8" t="s">
        <v>15</v>
      </c>
      <c r="C483" s="8">
        <v>129.0</v>
      </c>
      <c r="D483" s="8">
        <v>17235.0</v>
      </c>
      <c r="E483" s="8">
        <v>16052.0</v>
      </c>
    </row>
    <row r="484" ht="14.25" customHeight="1">
      <c r="A484" s="15">
        <v>43982.0</v>
      </c>
      <c r="B484" s="8" t="s">
        <v>13</v>
      </c>
      <c r="C484" s="8">
        <v>10.0</v>
      </c>
      <c r="D484" s="8">
        <v>749.0</v>
      </c>
      <c r="E484" s="8">
        <v>655.0</v>
      </c>
    </row>
    <row r="485" ht="14.25" customHeight="1">
      <c r="A485" s="15">
        <v>43982.0</v>
      </c>
      <c r="B485" s="8" t="s">
        <v>26</v>
      </c>
      <c r="C485" s="8">
        <v>9.0</v>
      </c>
      <c r="D485" s="8">
        <v>345.0</v>
      </c>
      <c r="E485" s="8">
        <v>255.0</v>
      </c>
    </row>
    <row r="486" ht="14.25" customHeight="1">
      <c r="A486" s="15">
        <v>43982.0</v>
      </c>
      <c r="B486" s="8" t="s">
        <v>25</v>
      </c>
      <c r="C486" s="8">
        <v>7.0</v>
      </c>
      <c r="D486" s="8">
        <v>530.0</v>
      </c>
      <c r="E486" s="8">
        <v>447.0</v>
      </c>
    </row>
    <row r="487" ht="14.25" customHeight="1">
      <c r="A487" s="15">
        <v>43982.0</v>
      </c>
      <c r="B487" s="8" t="s">
        <v>27</v>
      </c>
      <c r="C487" s="8">
        <v>6.0</v>
      </c>
      <c r="D487" s="8">
        <v>261.0</v>
      </c>
      <c r="E487" s="8">
        <v>188.0</v>
      </c>
    </row>
    <row r="488" ht="14.25" customHeight="1">
      <c r="A488" s="15">
        <v>43983.0</v>
      </c>
      <c r="B488" s="8" t="s">
        <v>17</v>
      </c>
      <c r="C488" s="8">
        <v>37.0</v>
      </c>
      <c r="D488" s="8">
        <v>4722.0</v>
      </c>
      <c r="E488" s="8">
        <v>4352.0</v>
      </c>
    </row>
    <row r="489" ht="14.25" customHeight="1">
      <c r="A489" s="15">
        <v>43983.0</v>
      </c>
      <c r="B489" s="8" t="s">
        <v>12</v>
      </c>
      <c r="C489" s="8">
        <v>31.0</v>
      </c>
      <c r="D489" s="8">
        <v>5468.0</v>
      </c>
      <c r="E489" s="8">
        <v>5081.0</v>
      </c>
    </row>
    <row r="490" ht="14.25" customHeight="1">
      <c r="A490" s="15">
        <v>43983.0</v>
      </c>
      <c r="B490" s="8" t="s">
        <v>18</v>
      </c>
      <c r="C490" s="8">
        <v>23.0</v>
      </c>
      <c r="D490" s="8">
        <v>2531.0</v>
      </c>
      <c r="E490" s="8">
        <v>2296.0</v>
      </c>
    </row>
    <row r="491" ht="14.25" customHeight="1">
      <c r="A491" s="15">
        <v>43983.0</v>
      </c>
      <c r="B491" s="8" t="s">
        <v>11</v>
      </c>
      <c r="C491" s="8">
        <v>21.0</v>
      </c>
      <c r="D491" s="8">
        <v>2025.0</v>
      </c>
      <c r="E491" s="8">
        <v>1849.0</v>
      </c>
    </row>
    <row r="492" ht="14.25" customHeight="1">
      <c r="A492" s="15">
        <v>43983.0</v>
      </c>
      <c r="B492" s="8" t="s">
        <v>21</v>
      </c>
      <c r="C492" s="8">
        <v>21.0</v>
      </c>
      <c r="D492" s="8">
        <v>1879.0</v>
      </c>
      <c r="E492" s="8">
        <v>1720.0</v>
      </c>
    </row>
    <row r="493" ht="14.25" customHeight="1">
      <c r="A493" s="15">
        <v>43983.0</v>
      </c>
      <c r="B493" s="8" t="s">
        <v>23</v>
      </c>
      <c r="C493" s="8">
        <v>54.0</v>
      </c>
      <c r="D493" s="8">
        <v>11864.0</v>
      </c>
      <c r="E493" s="8">
        <v>11071.0</v>
      </c>
    </row>
    <row r="494" ht="14.25" customHeight="1">
      <c r="A494" s="15">
        <v>43983.0</v>
      </c>
      <c r="B494" s="8" t="s">
        <v>22</v>
      </c>
      <c r="C494" s="8">
        <v>59.0</v>
      </c>
      <c r="D494" s="8">
        <v>12299.0</v>
      </c>
      <c r="E494" s="8">
        <v>11448.0</v>
      </c>
    </row>
    <row r="495" ht="14.25" customHeight="1">
      <c r="A495" s="15">
        <v>43983.0</v>
      </c>
      <c r="B495" s="8" t="s">
        <v>14</v>
      </c>
      <c r="C495" s="8">
        <v>20.0</v>
      </c>
      <c r="D495" s="8">
        <v>2136.0</v>
      </c>
      <c r="E495" s="8">
        <v>1899.0</v>
      </c>
    </row>
    <row r="496" ht="14.25" customHeight="1">
      <c r="A496" s="15">
        <v>43983.0</v>
      </c>
      <c r="B496" s="8" t="s">
        <v>24</v>
      </c>
      <c r="C496" s="8">
        <v>18.0</v>
      </c>
      <c r="D496" s="8">
        <v>923.0</v>
      </c>
      <c r="E496" s="8">
        <v>824.0</v>
      </c>
    </row>
    <row r="497" ht="14.25" customHeight="1">
      <c r="A497" s="15">
        <v>43983.0</v>
      </c>
      <c r="B497" s="8" t="s">
        <v>19</v>
      </c>
      <c r="C497" s="8">
        <v>17.0</v>
      </c>
      <c r="D497" s="8">
        <v>1185.0</v>
      </c>
      <c r="E497" s="8">
        <v>1042.0</v>
      </c>
    </row>
    <row r="498" ht="14.25" customHeight="1">
      <c r="A498" s="15">
        <v>43983.0</v>
      </c>
      <c r="B498" s="8" t="s">
        <v>20</v>
      </c>
      <c r="C498" s="8">
        <v>16.0</v>
      </c>
      <c r="D498" s="8">
        <v>1019.0</v>
      </c>
      <c r="E498" s="8">
        <v>895.0</v>
      </c>
    </row>
    <row r="499" ht="14.25" customHeight="1">
      <c r="A499" s="15">
        <v>43983.0</v>
      </c>
      <c r="B499" s="8" t="s">
        <v>10</v>
      </c>
      <c r="C499" s="8">
        <v>15.0</v>
      </c>
      <c r="D499" s="8">
        <v>453.0</v>
      </c>
      <c r="E499" s="8">
        <v>370.0</v>
      </c>
    </row>
    <row r="500" ht="14.25" customHeight="1">
      <c r="A500" s="15">
        <v>43983.0</v>
      </c>
      <c r="B500" s="8" t="s">
        <v>16</v>
      </c>
      <c r="C500" s="8">
        <v>123.0</v>
      </c>
      <c r="D500" s="8">
        <v>20325.0</v>
      </c>
      <c r="E500" s="8">
        <v>18935.0</v>
      </c>
    </row>
    <row r="501" ht="14.25" customHeight="1">
      <c r="A501" s="15">
        <v>43983.0</v>
      </c>
      <c r="B501" s="8" t="s">
        <v>15</v>
      </c>
      <c r="C501" s="8">
        <v>128.0</v>
      </c>
      <c r="D501" s="8">
        <v>16285.0</v>
      </c>
      <c r="E501" s="8">
        <v>15130.0</v>
      </c>
    </row>
    <row r="502" ht="14.25" customHeight="1">
      <c r="A502" s="15">
        <v>43983.0</v>
      </c>
      <c r="B502" s="8" t="s">
        <v>13</v>
      </c>
      <c r="C502" s="8">
        <v>10.0</v>
      </c>
      <c r="D502" s="8">
        <v>719.0</v>
      </c>
      <c r="E502" s="8">
        <v>627.0</v>
      </c>
    </row>
    <row r="503" ht="14.25" customHeight="1">
      <c r="A503" s="15">
        <v>43983.0</v>
      </c>
      <c r="B503" s="8" t="s">
        <v>26</v>
      </c>
      <c r="C503" s="8">
        <v>9.0</v>
      </c>
      <c r="D503" s="8">
        <v>294.0</v>
      </c>
      <c r="E503" s="8">
        <v>224.0</v>
      </c>
    </row>
    <row r="504" ht="14.25" customHeight="1">
      <c r="A504" s="15">
        <v>43983.0</v>
      </c>
      <c r="B504" s="8" t="s">
        <v>25</v>
      </c>
      <c r="C504" s="8">
        <v>7.0</v>
      </c>
      <c r="D504" s="8">
        <v>500.0</v>
      </c>
      <c r="E504" s="8">
        <v>418.0</v>
      </c>
    </row>
    <row r="505" ht="14.25" customHeight="1">
      <c r="A505" s="15">
        <v>43983.0</v>
      </c>
      <c r="B505" s="8" t="s">
        <v>27</v>
      </c>
      <c r="C505" s="8">
        <v>6.0</v>
      </c>
      <c r="D505" s="8">
        <v>237.0</v>
      </c>
      <c r="E505" s="8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1.71"/>
    <col customWidth="1" min="2" max="2" width="25.43"/>
    <col customWidth="1" min="3" max="3" width="26.86"/>
    <col customWidth="1" min="4" max="4" width="24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conditionalFormatting sqref="A2:A19 D2:E19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1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2:C19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8.57"/>
    <col customWidth="1" min="3" max="3" width="23.71"/>
    <col customWidth="1" min="4" max="4" width="24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conditionalFormatting sqref="G3:G2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2021-09-13T10:17:58Z</dcterms:created>
  <dc:creator>User</dc:creator>
</cp:coreProperties>
</file>